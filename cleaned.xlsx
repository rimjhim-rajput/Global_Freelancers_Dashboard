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 projects\Global Freelancers\"/>
    </mc:Choice>
  </mc:AlternateContent>
  <xr:revisionPtr revIDLastSave="0" documentId="13_ncr:1_{C1236E14-AA13-4835-B2A9-4E8AB40101A6}" xr6:coauthVersionLast="47" xr6:coauthVersionMax="47" xr10:uidLastSave="{00000000-0000-0000-0000-000000000000}"/>
  <bookViews>
    <workbookView xWindow="-108" yWindow="-108" windowWidth="23256" windowHeight="13176" activeTab="2" xr2:uid="{6D0F2A03-010A-4716-95F0-F7D6C2B21B3B}"/>
  </bookViews>
  <sheets>
    <sheet name="cleaned_data" sheetId="2" r:id="rId1"/>
    <sheet name="data_edited" sheetId="5" r:id="rId2"/>
    <sheet name="issues_log" sheetId="3" r:id="rId3"/>
  </sheets>
  <definedNames>
    <definedName name="_xlcn.WorksheetConnection_cleaned.xlsxdata" hidden="1">data[]</definedName>
    <definedName name="ExternalData_1" localSheetId="0" hidden="1">cleaned_data!$A$1:$S$1001</definedName>
    <definedName name="ExternalData_1" localSheetId="1" hidden="1">data_edited!$A$1:$U$1001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cleaned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5" l="1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E12" i="3"/>
  <c r="E11" i="3"/>
  <c r="E10" i="3"/>
  <c r="E9" i="3"/>
  <c r="E8" i="3"/>
  <c r="E7" i="3"/>
  <c r="E6" i="3"/>
  <c r="E5" i="3"/>
  <c r="E4" i="3"/>
  <c r="E3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9DD063-DE6F-4B39-A988-53815163FE42}" keepAlive="1" name="Query - global_freelancers_raw xlsx" description="Connection to the 'global_freelancers_raw xlsx' query in the workbook." type="5" refreshedVersion="8" background="1" saveData="1">
    <dbPr connection="Provider=Microsoft.Mashup.OleDb.1;Data Source=$Workbook$;Location=&quot;global_freelancers_raw xlsx&quot;;Extended Properties=&quot;&quot;" command="SELECT * FROM [global_freelancers_raw xlsx]"/>
  </connection>
  <connection id="2" xr16:uid="{B5805C65-B9A4-43EC-8982-6EA533D49A71}" keepAlive="1" name="Query - global_freelancers_raw xlsx (2)" description="Connection to the 'global_freelancers_raw xlsx (2)' query in the workbook." type="5" refreshedVersion="8" background="1" saveData="1">
    <dbPr connection="Provider=Microsoft.Mashup.OleDb.1;Data Source=$Workbook$;Location=&quot;global_freelancers_raw xlsx (2)&quot;;Extended Properties=&quot;&quot;" command="SELECT * FROM [global_freelancers_raw xlsx (2)]"/>
  </connection>
  <connection id="3" xr16:uid="{01BD6FF3-F870-461E-ADDB-EC525362355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9E6CB12-4F6F-40DF-9ACA-866A1A46BC55}" name="WorksheetConnection_cleaned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cleaned.xlsxdata"/>
        </x15:connection>
      </ext>
    </extLst>
  </connection>
</connections>
</file>

<file path=xl/sharedStrings.xml><?xml version="1.0" encoding="utf-8"?>
<sst xmlns="http://schemas.openxmlformats.org/spreadsheetml/2006/main" count="19349" uniqueCount="2103">
  <si>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</si>
  <si>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</si>
  <si>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</si>
  <si>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</si>
  <si>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</si>
  <si>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</si>
  <si>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</si>
  <si>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</si>
  <si>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hourly_rate_usd</t>
  </si>
  <si>
    <t>rating</t>
  </si>
  <si>
    <t>is_active</t>
  </si>
  <si>
    <t>client_satisfaction</t>
  </si>
  <si>
    <t>gender_cleaned</t>
  </si>
  <si>
    <t>FL250873</t>
  </si>
  <si>
    <t>Aaron Blair</t>
  </si>
  <si>
    <t>MALE</t>
  </si>
  <si>
    <t>Spain</t>
  </si>
  <si>
    <t>Spanish</t>
  </si>
  <si>
    <t>Blockchain Development</t>
  </si>
  <si>
    <t>yes</t>
  </si>
  <si>
    <t>Male</t>
  </si>
  <si>
    <t>FL250764</t>
  </si>
  <si>
    <t>Aaron Hicks</t>
  </si>
  <si>
    <t>India</t>
  </si>
  <si>
    <t>Hindi</t>
  </si>
  <si>
    <t>FL250340</t>
  </si>
  <si>
    <t>Aaron Pruitt</t>
  </si>
  <si>
    <t>Germany</t>
  </si>
  <si>
    <t>German</t>
  </si>
  <si>
    <t>FL250498</t>
  </si>
  <si>
    <t>Aaron Stewart PhD</t>
  </si>
  <si>
    <t>Indonesia</t>
  </si>
  <si>
    <t>Indonesian</t>
  </si>
  <si>
    <t>Data Analysis</t>
  </si>
  <si>
    <t>FL250778</t>
  </si>
  <si>
    <t>Adam Clay</t>
  </si>
  <si>
    <t>M</t>
  </si>
  <si>
    <t>Turkey</t>
  </si>
  <si>
    <t>Turkish</t>
  </si>
  <si>
    <t>Web Development</t>
  </si>
  <si>
    <t>FL250838</t>
  </si>
  <si>
    <t>Adam Griffith</t>
  </si>
  <si>
    <t>South Korea</t>
  </si>
  <si>
    <t>Korean</t>
  </si>
  <si>
    <t>FL250455</t>
  </si>
  <si>
    <t>Adam Kelly PhD</t>
  </si>
  <si>
    <t>Argentina</t>
  </si>
  <si>
    <t>Machine Learning</t>
  </si>
  <si>
    <t>FL250204</t>
  </si>
  <si>
    <t>Adam Payne</t>
  </si>
  <si>
    <t>Russia</t>
  </si>
  <si>
    <t>Russian</t>
  </si>
  <si>
    <t>Mobile Apps</t>
  </si>
  <si>
    <t>N</t>
  </si>
  <si>
    <t>FL250818</t>
  </si>
  <si>
    <t>Adam Stone</t>
  </si>
  <si>
    <t>FL250978</t>
  </si>
  <si>
    <t>Alan Mendoza</t>
  </si>
  <si>
    <t>United Kingdom</t>
  </si>
  <si>
    <t>English</t>
  </si>
  <si>
    <t>Cybersecurity</t>
  </si>
  <si>
    <t>FL250815</t>
  </si>
  <si>
    <t>Alan Williams</t>
  </si>
  <si>
    <t>UI/UX Design</t>
  </si>
  <si>
    <t>FL250996</t>
  </si>
  <si>
    <t>Albert Wilcox</t>
  </si>
  <si>
    <t>DevOps</t>
  </si>
  <si>
    <t>no</t>
  </si>
  <si>
    <t>FL250284</t>
  </si>
  <si>
    <t>Alex Novak</t>
  </si>
  <si>
    <t>FL250717</t>
  </si>
  <si>
    <t>Alex Smith</t>
  </si>
  <si>
    <t>FL250298</t>
  </si>
  <si>
    <t>Alex Wilson</t>
  </si>
  <si>
    <t>FL250355</t>
  </si>
  <si>
    <t>Alexa Gallegos</t>
  </si>
  <si>
    <t>FEMALE</t>
  </si>
  <si>
    <t>Japan</t>
  </si>
  <si>
    <t>Japanese</t>
  </si>
  <si>
    <t>Graphic Design</t>
  </si>
  <si>
    <t>Female</t>
  </si>
  <si>
    <t>FL250130</t>
  </si>
  <si>
    <t>Alexander Griffin</t>
  </si>
  <si>
    <t>France</t>
  </si>
  <si>
    <t>French</t>
  </si>
  <si>
    <t>FL250824</t>
  </si>
  <si>
    <t>Alexander Hogan</t>
  </si>
  <si>
    <t>Egypt</t>
  </si>
  <si>
    <t>Arabic</t>
  </si>
  <si>
    <t>FL250932</t>
  </si>
  <si>
    <t>Alexander Woodward</t>
  </si>
  <si>
    <t>Canada</t>
  </si>
  <si>
    <t>FL250820</t>
  </si>
  <si>
    <t>Alexandra Sims</t>
  </si>
  <si>
    <t>FL250028</t>
  </si>
  <si>
    <t>Alexis Day</t>
  </si>
  <si>
    <t>Y</t>
  </si>
  <si>
    <t>FL250013</t>
  </si>
  <si>
    <t>Alice Schneider</t>
  </si>
  <si>
    <t>FL250638</t>
  </si>
  <si>
    <t>Alison Clark</t>
  </si>
  <si>
    <t>Australia</t>
  </si>
  <si>
    <t>FL250317</t>
  </si>
  <si>
    <t>Allen Lee</t>
  </si>
  <si>
    <t>Netherlands</t>
  </si>
  <si>
    <t>Dutch</t>
  </si>
  <si>
    <t>FL250883</t>
  </si>
  <si>
    <t>Allen Turner</t>
  </si>
  <si>
    <t>AI</t>
  </si>
  <si>
    <t>FL250414</t>
  </si>
  <si>
    <t>Allison Henderson</t>
  </si>
  <si>
    <t>F</t>
  </si>
  <si>
    <t>FL250426</t>
  </si>
  <si>
    <t>Allison Perkins</t>
  </si>
  <si>
    <t>FL250121</t>
  </si>
  <si>
    <t>Allison Tucker MD</t>
  </si>
  <si>
    <t>FL250490</t>
  </si>
  <si>
    <t>Allison Williams</t>
  </si>
  <si>
    <t>Brazil</t>
  </si>
  <si>
    <t>Portuguese</t>
  </si>
  <si>
    <t>FL250803</t>
  </si>
  <si>
    <t>Amanda Fowler</t>
  </si>
  <si>
    <t>FL250449</t>
  </si>
  <si>
    <t>Amanda Jacobs</t>
  </si>
  <si>
    <t>FL250176</t>
  </si>
  <si>
    <t>Amanda Jones</t>
  </si>
  <si>
    <t>FL250770</t>
  </si>
  <si>
    <t>Amanda Martin</t>
  </si>
  <si>
    <t>FL250353</t>
  </si>
  <si>
    <t>Amanda Mayo</t>
  </si>
  <si>
    <t>FL250670</t>
  </si>
  <si>
    <t>Amanda Mitchell</t>
  </si>
  <si>
    <t>FL250693</t>
  </si>
  <si>
    <t>FL250806</t>
  </si>
  <si>
    <t>Amanda Smith</t>
  </si>
  <si>
    <t>FL250004</t>
  </si>
  <si>
    <t>Amanda Spencer</t>
  </si>
  <si>
    <t>FL250571</t>
  </si>
  <si>
    <t>Amanda Vargas</t>
  </si>
  <si>
    <t>United States</t>
  </si>
  <si>
    <t>FL250923</t>
  </si>
  <si>
    <t>Amy Brooks</t>
  </si>
  <si>
    <t>FL250779</t>
  </si>
  <si>
    <t>Amy Combs</t>
  </si>
  <si>
    <t>FL250921</t>
  </si>
  <si>
    <t>Amy Fitzgerald</t>
  </si>
  <si>
    <t>FL250038</t>
  </si>
  <si>
    <t>Amy Harrison</t>
  </si>
  <si>
    <t>FL250296</t>
  </si>
  <si>
    <t>Amy Lee</t>
  </si>
  <si>
    <t>FL250487</t>
  </si>
  <si>
    <t>FL250920</t>
  </si>
  <si>
    <t>Amy Morrow</t>
  </si>
  <si>
    <t>FL250251</t>
  </si>
  <si>
    <t>Amy Olson</t>
  </si>
  <si>
    <t>Mexico</t>
  </si>
  <si>
    <t>FL250444</t>
  </si>
  <si>
    <t>Andrea Perez</t>
  </si>
  <si>
    <t>China</t>
  </si>
  <si>
    <t>Mandarin</t>
  </si>
  <si>
    <t>FL250083</t>
  </si>
  <si>
    <t>Andrew Avila</t>
  </si>
  <si>
    <t>FL250639</t>
  </si>
  <si>
    <t>Andrew Barnes</t>
  </si>
  <si>
    <t>FL250125</t>
  </si>
  <si>
    <t>Andrew Fuentes</t>
  </si>
  <si>
    <t>FL250905</t>
  </si>
  <si>
    <t>Andrew Little</t>
  </si>
  <si>
    <t>FL250099</t>
  </si>
  <si>
    <t>Andrew Lynch</t>
  </si>
  <si>
    <t>FL250248</t>
  </si>
  <si>
    <t>Andrew Ruiz</t>
  </si>
  <si>
    <t>FL250650</t>
  </si>
  <si>
    <t>Andrew Scott</t>
  </si>
  <si>
    <t>FL250445</t>
  </si>
  <si>
    <t>Angel Collins</t>
  </si>
  <si>
    <t>FL250630</t>
  </si>
  <si>
    <t>Angela Blackwell</t>
  </si>
  <si>
    <t>FL250316</t>
  </si>
  <si>
    <t>Angela Castillo</t>
  </si>
  <si>
    <t>FL250364</t>
  </si>
  <si>
    <t>Angela Castro</t>
  </si>
  <si>
    <t>FL250663</t>
  </si>
  <si>
    <t>Angela Johnson</t>
  </si>
  <si>
    <t>FL250713</t>
  </si>
  <si>
    <t>Angela Smith</t>
  </si>
  <si>
    <t>FL250310</t>
  </si>
  <si>
    <t>Angela Ward</t>
  </si>
  <si>
    <t>South Africa</t>
  </si>
  <si>
    <t>Afrikaans</t>
  </si>
  <si>
    <t>FL250041</t>
  </si>
  <si>
    <t>Angelica Rogers</t>
  </si>
  <si>
    <t>FL250922</t>
  </si>
  <si>
    <t>Anita Becker</t>
  </si>
  <si>
    <t>FL250285</t>
  </si>
  <si>
    <t>Ann Contreras</t>
  </si>
  <si>
    <t>FL250236</t>
  </si>
  <si>
    <t>Anna Evans</t>
  </si>
  <si>
    <t>FL250849</t>
  </si>
  <si>
    <t>Anna Fleming</t>
  </si>
  <si>
    <t>FL250026</t>
  </si>
  <si>
    <t>Anna Mccann</t>
  </si>
  <si>
    <t>FL250154</t>
  </si>
  <si>
    <t>Anne Edwards</t>
  </si>
  <si>
    <t>FL250771</t>
  </si>
  <si>
    <t>Anne Hamilton</t>
  </si>
  <si>
    <t>FL250937</t>
  </si>
  <si>
    <t>Anne Hampton</t>
  </si>
  <si>
    <t>FL250380</t>
  </si>
  <si>
    <t>Anthony Avila</t>
  </si>
  <si>
    <t>FL250780</t>
  </si>
  <si>
    <t>Anthony Case</t>
  </si>
  <si>
    <t>FL250436</t>
  </si>
  <si>
    <t>Anthony Downs</t>
  </si>
  <si>
    <t>FL250510</t>
  </si>
  <si>
    <t>Anthony Gaines</t>
  </si>
  <si>
    <t>FL250279</t>
  </si>
  <si>
    <t>Anthony Goodwin DDS</t>
  </si>
  <si>
    <t>FL250896</t>
  </si>
  <si>
    <t>Anthony Hernandez</t>
  </si>
  <si>
    <t>FL250396</t>
  </si>
  <si>
    <t>Anthony Huynh MD</t>
  </si>
  <si>
    <t>FL250754</t>
  </si>
  <si>
    <t>Anthony Krause</t>
  </si>
  <si>
    <t>FL250169</t>
  </si>
  <si>
    <t>Anthony Larsen</t>
  </si>
  <si>
    <t>FL250254</t>
  </si>
  <si>
    <t>Anthony Nichols</t>
  </si>
  <si>
    <t>FL250933</t>
  </si>
  <si>
    <t>Anthony Walter</t>
  </si>
  <si>
    <t>FL250575</t>
  </si>
  <si>
    <t>Antonio Johnson</t>
  </si>
  <si>
    <t>FL250486</t>
  </si>
  <si>
    <t>Antonio King</t>
  </si>
  <si>
    <t>FL250725</t>
  </si>
  <si>
    <t>April Ford</t>
  </si>
  <si>
    <t>FL250574</t>
  </si>
  <si>
    <t>Ariana Pittman</t>
  </si>
  <si>
    <t>FL250363</t>
  </si>
  <si>
    <t>Arthur Vasquez</t>
  </si>
  <si>
    <t>FL250146</t>
  </si>
  <si>
    <t>Ashley Chen</t>
  </si>
  <si>
    <t>FL250067</t>
  </si>
  <si>
    <t>Ashley Cordova</t>
  </si>
  <si>
    <t>FL250619</t>
  </si>
  <si>
    <t>Ashley Hammond</t>
  </si>
  <si>
    <t>FL250645</t>
  </si>
  <si>
    <t>Ashley Kemp</t>
  </si>
  <si>
    <t>FL250512</t>
  </si>
  <si>
    <t>Ashley Odonnell</t>
  </si>
  <si>
    <t>FL250306</t>
  </si>
  <si>
    <t>Ashley Salazar</t>
  </si>
  <si>
    <t>FL250892</t>
  </si>
  <si>
    <t>Austin Allen</t>
  </si>
  <si>
    <t>Italy</t>
  </si>
  <si>
    <t>Italian</t>
  </si>
  <si>
    <t>FL250085</t>
  </si>
  <si>
    <t>Austin Jenkins</t>
  </si>
  <si>
    <t>FL250127</t>
  </si>
  <si>
    <t>Austin Romero</t>
  </si>
  <si>
    <t>FL250433</t>
  </si>
  <si>
    <t>Barbara Brown</t>
  </si>
  <si>
    <t>FL250060</t>
  </si>
  <si>
    <t>Barbara Foster</t>
  </si>
  <si>
    <t>FL250269</t>
  </si>
  <si>
    <t>Barbara Keith</t>
  </si>
  <si>
    <t>FL250654</t>
  </si>
  <si>
    <t>Benjamin Stark</t>
  </si>
  <si>
    <t>FL250703</t>
  </si>
  <si>
    <t>Benjamin Stevens</t>
  </si>
  <si>
    <t>FL250300</t>
  </si>
  <si>
    <t>Beth Crane</t>
  </si>
  <si>
    <t>FL250884</t>
  </si>
  <si>
    <t>Beth Huff</t>
  </si>
  <si>
    <t>FL250801</t>
  </si>
  <si>
    <t>Beth Young</t>
  </si>
  <si>
    <t>FL250097</t>
  </si>
  <si>
    <t>Bethany Wright</t>
  </si>
  <si>
    <t>FL250859</t>
  </si>
  <si>
    <t>Beverly Roy</t>
  </si>
  <si>
    <t>FL250981</t>
  </si>
  <si>
    <t>Blake Newton</t>
  </si>
  <si>
    <t>FL250483</t>
  </si>
  <si>
    <t>Bonnie Sherman</t>
  </si>
  <si>
    <t>FL250362</t>
  </si>
  <si>
    <t>Bradley Aguilar</t>
  </si>
  <si>
    <t>FL250724</t>
  </si>
  <si>
    <t>Bradley Gaines</t>
  </si>
  <si>
    <t>FL250951</t>
  </si>
  <si>
    <t>Bradley Harris</t>
  </si>
  <si>
    <t>FL250427</t>
  </si>
  <si>
    <t>Bradley Weaver</t>
  </si>
  <si>
    <t>FL250986</t>
  </si>
  <si>
    <t>Bradley Wu</t>
  </si>
  <si>
    <t>FL250195</t>
  </si>
  <si>
    <t>Brandi Tucker</t>
  </si>
  <si>
    <t>FL250186</t>
  </si>
  <si>
    <t>Brandon Ford</t>
  </si>
  <si>
    <t>FL250759</t>
  </si>
  <si>
    <t>Brandon Fox</t>
  </si>
  <si>
    <t>FL250647</t>
  </si>
  <si>
    <t>Brandon Newman</t>
  </si>
  <si>
    <t>FL250367</t>
  </si>
  <si>
    <t>Brandon Williams</t>
  </si>
  <si>
    <t>FL250313</t>
  </si>
  <si>
    <t>Brenda Briggs</t>
  </si>
  <si>
    <t>FL250237</t>
  </si>
  <si>
    <t>Brenda Fleming</t>
  </si>
  <si>
    <t>FL250086</t>
  </si>
  <si>
    <t>Brenda Green</t>
  </si>
  <si>
    <t>FL250963</t>
  </si>
  <si>
    <t>Brenda Koch</t>
  </si>
  <si>
    <t>FL250257</t>
  </si>
  <si>
    <t>Brenda Reeves</t>
  </si>
  <si>
    <t>FL250821</t>
  </si>
  <si>
    <t>Brenda Spencer</t>
  </si>
  <si>
    <t>FL250402</t>
  </si>
  <si>
    <t>Brett Moore</t>
  </si>
  <si>
    <t>FL250835</t>
  </si>
  <si>
    <t>Brian Bailey</t>
  </si>
  <si>
    <t>FL250357</t>
  </si>
  <si>
    <t>Brian Baker</t>
  </si>
  <si>
    <t>FL250266</t>
  </si>
  <si>
    <t>Brian Bautista</t>
  </si>
  <si>
    <t>FL250198</t>
  </si>
  <si>
    <t>Brian Dunn</t>
  </si>
  <si>
    <t>FL250817</t>
  </si>
  <si>
    <t>Brian Holland</t>
  </si>
  <si>
    <t>FL250088</t>
  </si>
  <si>
    <t>Briana Smith</t>
  </si>
  <si>
    <t>FL250610</t>
  </si>
  <si>
    <t>Brianna Orr</t>
  </si>
  <si>
    <t>FL250593</t>
  </si>
  <si>
    <t>Brianna Pittman</t>
  </si>
  <si>
    <t>FL250081</t>
  </si>
  <si>
    <t>Bridget Williams</t>
  </si>
  <si>
    <t>FL250918</t>
  </si>
  <si>
    <t>Brittany Barker</t>
  </si>
  <si>
    <t>FL250789</t>
  </si>
  <si>
    <t>Brittany Lambert</t>
  </si>
  <si>
    <t>FL250337</t>
  </si>
  <si>
    <t>Brittany Mcdowell</t>
  </si>
  <si>
    <t>FL250766</t>
  </si>
  <si>
    <t>Bryan Long</t>
  </si>
  <si>
    <t>FL250870</t>
  </si>
  <si>
    <t>Caleb Guerra</t>
  </si>
  <si>
    <t>FL250261</t>
  </si>
  <si>
    <t>Cameron Spencer</t>
  </si>
  <si>
    <t>FL250122</t>
  </si>
  <si>
    <t>Candice Petersen</t>
  </si>
  <si>
    <t>FL250288</t>
  </si>
  <si>
    <t>Candice Wise</t>
  </si>
  <si>
    <t>FL250746</t>
  </si>
  <si>
    <t>Carl Kline</t>
  </si>
  <si>
    <t>FL250540</t>
  </si>
  <si>
    <t>Carla Wood</t>
  </si>
  <si>
    <t>FL250699</t>
  </si>
  <si>
    <t>Carol Schneider</t>
  </si>
  <si>
    <t>FL250173</t>
  </si>
  <si>
    <t>Caroline Gross</t>
  </si>
  <si>
    <t>FL250915</t>
  </si>
  <si>
    <t>Carolyn Lopez</t>
  </si>
  <si>
    <t>FL250258</t>
  </si>
  <si>
    <t>Carrie Little</t>
  </si>
  <si>
    <t>FL250621</t>
  </si>
  <si>
    <t>Casey Bush</t>
  </si>
  <si>
    <t>FL250867</t>
  </si>
  <si>
    <t>Casey Roberts</t>
  </si>
  <si>
    <t>FL250952</t>
  </si>
  <si>
    <t>Cassandra Macdonald</t>
  </si>
  <si>
    <t>FL250551</t>
  </si>
  <si>
    <t>Cassandra Stephens</t>
  </si>
  <si>
    <t>FL250962</t>
  </si>
  <si>
    <t>Catherine Johnston</t>
  </si>
  <si>
    <t>FL250536</t>
  </si>
  <si>
    <t>Catherine Mccoy MD</t>
  </si>
  <si>
    <t>FL250292</t>
  </si>
  <si>
    <t>Cathy Baldwin</t>
  </si>
  <si>
    <t>FL250023</t>
  </si>
  <si>
    <t>Cesar Greene</t>
  </si>
  <si>
    <t>FL250980</t>
  </si>
  <si>
    <t>Charles Dean</t>
  </si>
  <si>
    <t>FL250141</t>
  </si>
  <si>
    <t>Charles Jones</t>
  </si>
  <si>
    <t>FL250586</t>
  </si>
  <si>
    <t>Charles Martinez</t>
  </si>
  <si>
    <t>FL250356</t>
  </si>
  <si>
    <t>Charles Pratt</t>
  </si>
  <si>
    <t>FL250992</t>
  </si>
  <si>
    <t>Charlotte Taylor</t>
  </si>
  <si>
    <t>FL250048</t>
  </si>
  <si>
    <t>Chase Mason</t>
  </si>
  <si>
    <t>FL250374</t>
  </si>
  <si>
    <t>Chelsea Anderson</t>
  </si>
  <si>
    <t>FL250227</t>
  </si>
  <si>
    <t>Chelsea Barber</t>
  </si>
  <si>
    <t>FL250479</t>
  </si>
  <si>
    <t>Cheryl Freeman</t>
  </si>
  <si>
    <t>FL250997</t>
  </si>
  <si>
    <t>Cheryl Norris</t>
  </si>
  <si>
    <t>FL250232</t>
  </si>
  <si>
    <t>Chloe Gray</t>
  </si>
  <si>
    <t>FL250309</t>
  </si>
  <si>
    <t>Christian Campbell</t>
  </si>
  <si>
    <t>FL250633</t>
  </si>
  <si>
    <t>Christian Lane</t>
  </si>
  <si>
    <t>FL250158</t>
  </si>
  <si>
    <t>Christian Lopez</t>
  </si>
  <si>
    <t>FL250521</t>
  </si>
  <si>
    <t>Christina King</t>
  </si>
  <si>
    <t>FL250358</t>
  </si>
  <si>
    <t>Christina Norman</t>
  </si>
  <si>
    <t>FL250714</t>
  </si>
  <si>
    <t>Christina Wright</t>
  </si>
  <si>
    <t>FL250729</t>
  </si>
  <si>
    <t>Christine Castro</t>
  </si>
  <si>
    <t>FL250398</t>
  </si>
  <si>
    <t>Christine Cherry</t>
  </si>
  <si>
    <t>FL250293</t>
  </si>
  <si>
    <t>Christine Hart</t>
  </si>
  <si>
    <t>FL250063</t>
  </si>
  <si>
    <t>Christine Johnson</t>
  </si>
  <si>
    <t>FL250390</t>
  </si>
  <si>
    <t>Christopher Black</t>
  </si>
  <si>
    <t>FL250361</t>
  </si>
  <si>
    <t>Christopher Burton</t>
  </si>
  <si>
    <t>FL250241</t>
  </si>
  <si>
    <t>Christopher Guerra</t>
  </si>
  <si>
    <t>FL250795</t>
  </si>
  <si>
    <t>Christopher Hunter</t>
  </si>
  <si>
    <t>FL250862</t>
  </si>
  <si>
    <t>Christopher Johnson</t>
  </si>
  <si>
    <t>FL250133</t>
  </si>
  <si>
    <t>Christopher Jones</t>
  </si>
  <si>
    <t>FL250735</t>
  </si>
  <si>
    <t>Christopher Long</t>
  </si>
  <si>
    <t>FL250431</t>
  </si>
  <si>
    <t>Christopher Mcclain</t>
  </si>
  <si>
    <t>FL250123</t>
  </si>
  <si>
    <t>Christopher Nichols</t>
  </si>
  <si>
    <t>FL250321</t>
  </si>
  <si>
    <t>Christopher Riggs</t>
  </si>
  <si>
    <t>FL250580</t>
  </si>
  <si>
    <t>Christopher Robinson</t>
  </si>
  <si>
    <t>FL250763</t>
  </si>
  <si>
    <t>Christopher Sparks</t>
  </si>
  <si>
    <t>FL250134</t>
  </si>
  <si>
    <t>Cindy Jacobs</t>
  </si>
  <si>
    <t>FL250153</t>
  </si>
  <si>
    <t>Cindy Martin</t>
  </si>
  <si>
    <t>FL250983</t>
  </si>
  <si>
    <t>Cindy Williams</t>
  </si>
  <si>
    <t>FL250342</t>
  </si>
  <si>
    <t>Clarence Vega</t>
  </si>
  <si>
    <t>FL250128</t>
  </si>
  <si>
    <t>Clayton Burns</t>
  </si>
  <si>
    <t>FL250305</t>
  </si>
  <si>
    <t>Clayton Pena</t>
  </si>
  <si>
    <t>FL250508</t>
  </si>
  <si>
    <t>Clifford Moore MD</t>
  </si>
  <si>
    <t>FL250685</t>
  </si>
  <si>
    <t>Connie Mcclain</t>
  </si>
  <si>
    <t>FL250485</t>
  </si>
  <si>
    <t>Corey Combs</t>
  </si>
  <si>
    <t>FL250069</t>
  </si>
  <si>
    <t>Corey Warren</t>
  </si>
  <si>
    <t>FL250874</t>
  </si>
  <si>
    <t>Courtney Burton</t>
  </si>
  <si>
    <t>FL250061</t>
  </si>
  <si>
    <t>Courtney Tran</t>
  </si>
  <si>
    <t>FL250623</t>
  </si>
  <si>
    <t>Craig Dennis</t>
  </si>
  <si>
    <t>FL250481</t>
  </si>
  <si>
    <t>Craig Levine</t>
  </si>
  <si>
    <t>FL250975</t>
  </si>
  <si>
    <t>Crystal Brown</t>
  </si>
  <si>
    <t>FL250066</t>
  </si>
  <si>
    <t>Crystal Wilson</t>
  </si>
  <si>
    <t>FL250819</t>
  </si>
  <si>
    <t>Curtis Lambert</t>
  </si>
  <si>
    <t>FL250454</t>
  </si>
  <si>
    <t>Curtis Maxwell</t>
  </si>
  <si>
    <t>FL250656</t>
  </si>
  <si>
    <t>Cynthia Mckinney</t>
  </si>
  <si>
    <t>FL250783</t>
  </si>
  <si>
    <t>Cynthia Walton</t>
  </si>
  <si>
    <t>FL250315</t>
  </si>
  <si>
    <t>Dakota Giles</t>
  </si>
  <si>
    <t>FL250267</t>
  </si>
  <si>
    <t>Dakota Wells</t>
  </si>
  <si>
    <t>FL250840</t>
  </si>
  <si>
    <t>Dale Haynes</t>
  </si>
  <si>
    <t>FL250800</t>
  </si>
  <si>
    <t>Dana Rice</t>
  </si>
  <si>
    <t>FL250615</t>
  </si>
  <si>
    <t>Dana Sanders</t>
  </si>
  <si>
    <t>FL250239</t>
  </si>
  <si>
    <t>Daniel Barnett</t>
  </si>
  <si>
    <t>FL250399</t>
  </si>
  <si>
    <t>Daniel Foster</t>
  </si>
  <si>
    <t>FL250961</t>
  </si>
  <si>
    <t>Daniel Green</t>
  </si>
  <si>
    <t>FL250238</t>
  </si>
  <si>
    <t>Daniel Harrington</t>
  </si>
  <si>
    <t>FL250704</t>
  </si>
  <si>
    <t>Daniel Lopez</t>
  </si>
  <si>
    <t>FL250595</t>
  </si>
  <si>
    <t>Daniel Martin</t>
  </si>
  <si>
    <t>FL250929</t>
  </si>
  <si>
    <t>Daniel Parker</t>
  </si>
  <si>
    <t>FL250616</t>
  </si>
  <si>
    <t>Daniel Quinn</t>
  </si>
  <si>
    <t>FL250839</t>
  </si>
  <si>
    <t>Daniel Roberson</t>
  </si>
  <si>
    <t>FL250446</t>
  </si>
  <si>
    <t>Daniel Terry</t>
  </si>
  <si>
    <t>FL250987</t>
  </si>
  <si>
    <t>Daniel Thomas</t>
  </si>
  <si>
    <t>FL250518</t>
  </si>
  <si>
    <t>Danielle Adkins</t>
  </si>
  <si>
    <t>FL250458</t>
  </si>
  <si>
    <t>Danielle Barrera</t>
  </si>
  <si>
    <t>FL250707</t>
  </si>
  <si>
    <t>Danielle Bell</t>
  </si>
  <si>
    <t>FL250319</t>
  </si>
  <si>
    <t>Danielle Costa</t>
  </si>
  <si>
    <t>FL250687</t>
  </si>
  <si>
    <t>Danielle Nelson</t>
  </si>
  <si>
    <t>FL250216</t>
  </si>
  <si>
    <t>Danny Brown</t>
  </si>
  <si>
    <t>FL250462</t>
  </si>
  <si>
    <t>Danny Morris DDS</t>
  </si>
  <si>
    <t>FL250225</t>
  </si>
  <si>
    <t>Darrell Johnson</t>
  </si>
  <si>
    <t>FL250894</t>
  </si>
  <si>
    <t>David Armstrong</t>
  </si>
  <si>
    <t>FL250625</t>
  </si>
  <si>
    <t>David Bishop</t>
  </si>
  <si>
    <t>FL250842</t>
  </si>
  <si>
    <t>David Brown</t>
  </si>
  <si>
    <t>FL250720</t>
  </si>
  <si>
    <t>David Cherry</t>
  </si>
  <si>
    <t>FL250308</t>
  </si>
  <si>
    <t>David Cox</t>
  </si>
  <si>
    <t>FL250982</t>
  </si>
  <si>
    <t>David Gonzalez</t>
  </si>
  <si>
    <t>FL250710</t>
  </si>
  <si>
    <t>David Griffin</t>
  </si>
  <si>
    <t>FL250967</t>
  </si>
  <si>
    <t>David Hooper</t>
  </si>
  <si>
    <t>FL250635</t>
  </si>
  <si>
    <t>David Martinez</t>
  </si>
  <si>
    <t>FL250416</t>
  </si>
  <si>
    <t>David Morrison</t>
  </si>
  <si>
    <t>FL250098</t>
  </si>
  <si>
    <t>David Ortiz</t>
  </si>
  <si>
    <t>FL250966</t>
  </si>
  <si>
    <t>David Osborne III</t>
  </si>
  <si>
    <t>FL250281</t>
  </si>
  <si>
    <t>David Powell</t>
  </si>
  <si>
    <t>FL250459</t>
  </si>
  <si>
    <t>David Sanchez</t>
  </si>
  <si>
    <t>FL250556</t>
  </si>
  <si>
    <t>David Spence</t>
  </si>
  <si>
    <t>FL250400</t>
  </si>
  <si>
    <t>David Valencia</t>
  </si>
  <si>
    <t>FL250641</t>
  </si>
  <si>
    <t>David Watson</t>
  </si>
  <si>
    <t>FL251000</t>
  </si>
  <si>
    <t>Dawn Green</t>
  </si>
  <si>
    <t>FL250569</t>
  </si>
  <si>
    <t>Dawn Hardy</t>
  </si>
  <si>
    <t>FL250677</t>
  </si>
  <si>
    <t>Dawn Mitchell</t>
  </si>
  <si>
    <t>FL250644</t>
  </si>
  <si>
    <t>Dean Finley</t>
  </si>
  <si>
    <t>FL250858</t>
  </si>
  <si>
    <t>Deanna Miles</t>
  </si>
  <si>
    <t>FL250370</t>
  </si>
  <si>
    <t>Deborah Brown</t>
  </si>
  <si>
    <t>FL250343</t>
  </si>
  <si>
    <t>Deborah Day</t>
  </si>
  <si>
    <t>FL250935</t>
  </si>
  <si>
    <t>Deborah Kelley</t>
  </si>
  <si>
    <t>FL250578</t>
  </si>
  <si>
    <t>Deborah Torres</t>
  </si>
  <si>
    <t>FL250124</t>
  </si>
  <si>
    <t>Debra Garcia</t>
  </si>
  <si>
    <t>FL250171</t>
  </si>
  <si>
    <t>Debra Salazar</t>
  </si>
  <si>
    <t>FL250627</t>
  </si>
  <si>
    <t>Denise Erickson</t>
  </si>
  <si>
    <t>FL250448</t>
  </si>
  <si>
    <t>Denise Neal</t>
  </si>
  <si>
    <t>FL250095</t>
  </si>
  <si>
    <t>Denise Smith</t>
  </si>
  <si>
    <t>FL250750</t>
  </si>
  <si>
    <t>Desiree Winters</t>
  </si>
  <si>
    <t>FL250078</t>
  </si>
  <si>
    <t>Diana Bautista</t>
  </si>
  <si>
    <t>FL250517</t>
  </si>
  <si>
    <t>Diana Chase</t>
  </si>
  <si>
    <t>FL250831</t>
  </si>
  <si>
    <t>Diana Ferguson</t>
  </si>
  <si>
    <t>FL250768</t>
  </si>
  <si>
    <t>Diana Raymond</t>
  </si>
  <si>
    <t>FL250429</t>
  </si>
  <si>
    <t>Diana Walton</t>
  </si>
  <si>
    <t>FL250755</t>
  </si>
  <si>
    <t>Diane Dean</t>
  </si>
  <si>
    <t>FL250411</t>
  </si>
  <si>
    <t>Diane Flores</t>
  </si>
  <si>
    <t>FL250506</t>
  </si>
  <si>
    <t>Dillon Henry</t>
  </si>
  <si>
    <t>FL250049</t>
  </si>
  <si>
    <t>Dominique Ward</t>
  </si>
  <si>
    <t>FL250052</t>
  </si>
  <si>
    <t>Don Scott</t>
  </si>
  <si>
    <t>FL250162</t>
  </si>
  <si>
    <t>Donald Mitchell</t>
  </si>
  <si>
    <t>FL250636</t>
  </si>
  <si>
    <t>Donald Salas</t>
  </si>
  <si>
    <t>FL250138</t>
  </si>
  <si>
    <t>Donna Bailey</t>
  </si>
  <si>
    <t>FL250430</t>
  </si>
  <si>
    <t>Donna Davis</t>
  </si>
  <si>
    <t>FL250137</t>
  </si>
  <si>
    <t>Donna Hansen</t>
  </si>
  <si>
    <t>FL250381</t>
  </si>
  <si>
    <t>Douglas Goodwin</t>
  </si>
  <si>
    <t>FL250407</t>
  </si>
  <si>
    <t>Dustin Douglas</t>
  </si>
  <si>
    <t>FL250611</t>
  </si>
  <si>
    <t>Dustin Smith</t>
  </si>
  <si>
    <t>FL250808</t>
  </si>
  <si>
    <t>Dwayne Cardenas</t>
  </si>
  <si>
    <t>FL250796</t>
  </si>
  <si>
    <t>Dwayne Parks</t>
  </si>
  <si>
    <t>FL250062</t>
  </si>
  <si>
    <t>Eddie Todd</t>
  </si>
  <si>
    <t>FL250175</t>
  </si>
  <si>
    <t>Eduardo Burns</t>
  </si>
  <si>
    <t>FL250143</t>
  </si>
  <si>
    <t>Eduardo Reed</t>
  </si>
  <si>
    <t>FL250015</t>
  </si>
  <si>
    <t>Edward Ferguson</t>
  </si>
  <si>
    <t>FL250333</t>
  </si>
  <si>
    <t>Edwin Carter</t>
  </si>
  <si>
    <t>FL250228</t>
  </si>
  <si>
    <t>Elaine Martinez</t>
  </si>
  <si>
    <t>FL250345</t>
  </si>
  <si>
    <t>Elijah Green</t>
  </si>
  <si>
    <t>FL250573</t>
  </si>
  <si>
    <t>Elizabeth Bowman</t>
  </si>
  <si>
    <t>FL250435</t>
  </si>
  <si>
    <t>Elizabeth Edwards</t>
  </si>
  <si>
    <t>FL250394</t>
  </si>
  <si>
    <t>Elizabeth Estrada</t>
  </si>
  <si>
    <t>FL250716</t>
  </si>
  <si>
    <t>Elizabeth Green</t>
  </si>
  <si>
    <t>FL250563</t>
  </si>
  <si>
    <t>Elizabeth Hayes</t>
  </si>
  <si>
    <t>FL250185</t>
  </si>
  <si>
    <t>Elizabeth Jenkins</t>
  </si>
  <si>
    <t>FL250109</t>
  </si>
  <si>
    <t>Elizabeth Lester</t>
  </si>
  <si>
    <t>FL250668</t>
  </si>
  <si>
    <t>Elizabeth Phillips</t>
  </si>
  <si>
    <t>FL250410</t>
  </si>
  <si>
    <t>Elizabeth Stone</t>
  </si>
  <si>
    <t>FL250256</t>
  </si>
  <si>
    <t>Elizabeth Walker</t>
  </si>
  <si>
    <t>FL250681</t>
  </si>
  <si>
    <t>Ellen Bowman</t>
  </si>
  <si>
    <t>FL250807</t>
  </si>
  <si>
    <t>Emily Brown</t>
  </si>
  <si>
    <t>FL250036</t>
  </si>
  <si>
    <t>Emily Daniels</t>
  </si>
  <si>
    <t>FL250495</t>
  </si>
  <si>
    <t>Emily Horton</t>
  </si>
  <si>
    <t>FL250346</t>
  </si>
  <si>
    <t>Emily Johnson</t>
  </si>
  <si>
    <t>FL250841</t>
  </si>
  <si>
    <t>Emily Scott</t>
  </si>
  <si>
    <t>FL250637</t>
  </si>
  <si>
    <t>Emma Hicks</t>
  </si>
  <si>
    <t>FL250031</t>
  </si>
  <si>
    <t>Eric Carpenter</t>
  </si>
  <si>
    <t>FL250970</t>
  </si>
  <si>
    <t>Eric Jimenez</t>
  </si>
  <si>
    <t>FL250672</t>
  </si>
  <si>
    <t>Eric Johnson</t>
  </si>
  <si>
    <t>FL250007</t>
  </si>
  <si>
    <t>Eric Myers</t>
  </si>
  <si>
    <t>FL250743</t>
  </si>
  <si>
    <t>Eric Nguyen</t>
  </si>
  <si>
    <t>FL250386</t>
  </si>
  <si>
    <t>Eric Robinson</t>
  </si>
  <si>
    <t>FL250698</t>
  </si>
  <si>
    <t>Eric Walsh</t>
  </si>
  <si>
    <t>FL250147</t>
  </si>
  <si>
    <t>Erica Davis</t>
  </si>
  <si>
    <t>FL250941</t>
  </si>
  <si>
    <t>Erica Jackson</t>
  </si>
  <si>
    <t>FL250897</t>
  </si>
  <si>
    <t>Erica Johnson</t>
  </si>
  <si>
    <t>FL250547</t>
  </si>
  <si>
    <t>Erika Mitchell</t>
  </si>
  <si>
    <t>FL250753</t>
  </si>
  <si>
    <t>Erin Jimenez</t>
  </si>
  <si>
    <t>FL250823</t>
  </si>
  <si>
    <t>Erin Martin</t>
  </si>
  <si>
    <t>FL250679</t>
  </si>
  <si>
    <t>Ernest Cole</t>
  </si>
  <si>
    <t>FL250401</t>
  </si>
  <si>
    <t>Ethan Adams</t>
  </si>
  <si>
    <t>FL250990</t>
  </si>
  <si>
    <t>Evan Ramos</t>
  </si>
  <si>
    <t>FL250855</t>
  </si>
  <si>
    <t>Evan Soto</t>
  </si>
  <si>
    <t>FL250252</t>
  </si>
  <si>
    <t>Fred Stark</t>
  </si>
  <si>
    <t>FL250177</t>
  </si>
  <si>
    <t>Frederick Ware</t>
  </si>
  <si>
    <t>FL250958</t>
  </si>
  <si>
    <t>Gabrielle Bowman</t>
  </si>
  <si>
    <t>FL250149</t>
  </si>
  <si>
    <t>Gary Ballard</t>
  </si>
  <si>
    <t>FL250011</t>
  </si>
  <si>
    <t>Gavin Randall</t>
  </si>
  <si>
    <t>FL250375</t>
  </si>
  <si>
    <t>Gerald Johnson</t>
  </si>
  <si>
    <t>FL250875</t>
  </si>
  <si>
    <t>Gerald Taylor</t>
  </si>
  <si>
    <t>FL250762</t>
  </si>
  <si>
    <t>Gilbert Mcintyre</t>
  </si>
  <si>
    <t>FL250640</t>
  </si>
  <si>
    <t>Gina Snyder</t>
  </si>
  <si>
    <t>FL250070</t>
  </si>
  <si>
    <t>Gina Thompson</t>
  </si>
  <si>
    <t>FL250792</t>
  </si>
  <si>
    <t>Gina Williams</t>
  </si>
  <si>
    <t>FL250119</t>
  </si>
  <si>
    <t>Gloria Chaney</t>
  </si>
  <si>
    <t>FL250741</t>
  </si>
  <si>
    <t>Gregory Brown</t>
  </si>
  <si>
    <t>FL250164</t>
  </si>
  <si>
    <t>Gregory Clarke</t>
  </si>
  <si>
    <t>FL250373</t>
  </si>
  <si>
    <t>Gregory Garrison</t>
  </si>
  <si>
    <t>FL250585</t>
  </si>
  <si>
    <t>Gregory Randall</t>
  </si>
  <si>
    <t>FL250738</t>
  </si>
  <si>
    <t>Gregory Waters</t>
  </si>
  <si>
    <t>FL250893</t>
  </si>
  <si>
    <t>Haley Castro</t>
  </si>
  <si>
    <t>FL250276</t>
  </si>
  <si>
    <t>Haley Yates</t>
  </si>
  <si>
    <t>FL250680</t>
  </si>
  <si>
    <t>Hannah Sanders</t>
  </si>
  <si>
    <t>FL250949</t>
  </si>
  <si>
    <t>Heather Brown</t>
  </si>
  <si>
    <t>FL250270</t>
  </si>
  <si>
    <t>Heather Camacho</t>
  </si>
  <si>
    <t>FL250772</t>
  </si>
  <si>
    <t>Heather Curtis</t>
  </si>
  <si>
    <t>FL250516</t>
  </si>
  <si>
    <t>Heather Davis</t>
  </si>
  <si>
    <t>FL250605</t>
  </si>
  <si>
    <t>Heather Jackson</t>
  </si>
  <si>
    <t>FL250860</t>
  </si>
  <si>
    <t>Heather Saunders</t>
  </si>
  <si>
    <t>FL250946</t>
  </si>
  <si>
    <t>Hector Greer</t>
  </si>
  <si>
    <t>FL250624</t>
  </si>
  <si>
    <t>Heidi Dixon</t>
  </si>
  <si>
    <t>FL250202</t>
  </si>
  <si>
    <t>Heidi Miranda</t>
  </si>
  <si>
    <t>FL250188</t>
  </si>
  <si>
    <t>Henry Mullen</t>
  </si>
  <si>
    <t>FL250728</t>
  </si>
  <si>
    <t>Ian Hayes</t>
  </si>
  <si>
    <t>FL250473</t>
  </si>
  <si>
    <t>Ian May</t>
  </si>
  <si>
    <t>FL250392</t>
  </si>
  <si>
    <t>Isaac Gray</t>
  </si>
  <si>
    <t>FL250890</t>
  </si>
  <si>
    <t>Isaac Hebert</t>
  </si>
  <si>
    <t>FL250503</t>
  </si>
  <si>
    <t>Isabel Brown</t>
  </si>
  <si>
    <t>FL250437</t>
  </si>
  <si>
    <t>Jack Ortega</t>
  </si>
  <si>
    <t>FL250366</t>
  </si>
  <si>
    <t>Jackie Allen</t>
  </si>
  <si>
    <t>FL250405</t>
  </si>
  <si>
    <t>Jacob Austin</t>
  </si>
  <si>
    <t>FL250253</t>
  </si>
  <si>
    <t>Jacob Gill</t>
  </si>
  <si>
    <t>FL250674</t>
  </si>
  <si>
    <t>Jacob Jones</t>
  </si>
  <si>
    <t>FL250263</t>
  </si>
  <si>
    <t>Jacob Joseph</t>
  </si>
  <si>
    <t>FL250212</t>
  </si>
  <si>
    <t>Jacob Kerr</t>
  </si>
  <si>
    <t>FL250501</t>
  </si>
  <si>
    <t>Jacob Mclaughlin</t>
  </si>
  <si>
    <t>FL250265</t>
  </si>
  <si>
    <t>Jacqueline Drake</t>
  </si>
  <si>
    <t>FL250774</t>
  </si>
  <si>
    <t>Jacqueline Moon</t>
  </si>
  <si>
    <t>FL250272</t>
  </si>
  <si>
    <t>Jacqueline Peterson</t>
  </si>
  <si>
    <t>FL250224</t>
  </si>
  <si>
    <t>Jacqueline Williams</t>
  </si>
  <si>
    <t>FL250798</t>
  </si>
  <si>
    <t>Jake Gilmore</t>
  </si>
  <si>
    <t>FL250046</t>
  </si>
  <si>
    <t>James Brown</t>
  </si>
  <si>
    <t>FL250775</t>
  </si>
  <si>
    <t>James Campbell</t>
  </si>
  <si>
    <t>FL250290</t>
  </si>
  <si>
    <t>James Carr</t>
  </si>
  <si>
    <t>FL250021</t>
  </si>
  <si>
    <t>James Cherry</t>
  </si>
  <si>
    <t>FL250726</t>
  </si>
  <si>
    <t>James Gonzalez</t>
  </si>
  <si>
    <t>FL250587</t>
  </si>
  <si>
    <t>James Hall</t>
  </si>
  <si>
    <t>FL250040</t>
  </si>
  <si>
    <t>James Hernandez</t>
  </si>
  <si>
    <t>FL250555</t>
  </si>
  <si>
    <t>James Hinton</t>
  </si>
  <si>
    <t>FL250418</t>
  </si>
  <si>
    <t>James Jacobs</t>
  </si>
  <si>
    <t>FL250382</t>
  </si>
  <si>
    <t>James Mills</t>
  </si>
  <si>
    <t>FL250457</t>
  </si>
  <si>
    <t>James Moore</t>
  </si>
  <si>
    <t>FL250222</t>
  </si>
  <si>
    <t>James Skinner</t>
  </si>
  <si>
    <t>FL250476</t>
  </si>
  <si>
    <t>James Smith</t>
  </si>
  <si>
    <t>FL250507</t>
  </si>
  <si>
    <t>James Todd</t>
  </si>
  <si>
    <t>FL250037</t>
  </si>
  <si>
    <t>Jamie Ramirez</t>
  </si>
  <si>
    <t>FL250112</t>
  </si>
  <si>
    <t>Jane Cox</t>
  </si>
  <si>
    <t>FL250559</t>
  </si>
  <si>
    <t>Janet Barron</t>
  </si>
  <si>
    <t>FL250552</t>
  </si>
  <si>
    <t>Janet Donovan MD</t>
  </si>
  <si>
    <t>FL250539</t>
  </si>
  <si>
    <t>Janice Daniels</t>
  </si>
  <si>
    <t>FL250106</t>
  </si>
  <si>
    <t>Jasmin Ho</t>
  </si>
  <si>
    <t>FL250466</t>
  </si>
  <si>
    <t>Jasmine Harris</t>
  </si>
  <si>
    <t>FL250854</t>
  </si>
  <si>
    <t>Jasmine Lane</t>
  </si>
  <si>
    <t>FL250708</t>
  </si>
  <si>
    <t>Jason Brady</t>
  </si>
  <si>
    <t>FL250528</t>
  </si>
  <si>
    <t>Jason Bryant</t>
  </si>
  <si>
    <t>FL250126</t>
  </si>
  <si>
    <t>Jason Carter</t>
  </si>
  <si>
    <t>FL250417</t>
  </si>
  <si>
    <t>FL250748</t>
  </si>
  <si>
    <t>Jason Edwards</t>
  </si>
  <si>
    <t>FL250853</t>
  </si>
  <si>
    <t>Jason Johnson</t>
  </si>
  <si>
    <t>FL250697</t>
  </si>
  <si>
    <t>Jason Phillips</t>
  </si>
  <si>
    <t>FL250979</t>
  </si>
  <si>
    <t>Jason Sanders</t>
  </si>
  <si>
    <t>FL250372</t>
  </si>
  <si>
    <t>Jason Scott</t>
  </si>
  <si>
    <t>FL250044</t>
  </si>
  <si>
    <t>Jason Singh</t>
  </si>
  <si>
    <t>FL250702</t>
  </si>
  <si>
    <t>Jason Weaver</t>
  </si>
  <si>
    <t>FL250673</t>
  </si>
  <si>
    <t>Javier Hobbs</t>
  </si>
  <si>
    <t>FL250971</t>
  </si>
  <si>
    <t>Jay Bush</t>
  </si>
  <si>
    <t>FL250264</t>
  </si>
  <si>
    <t>Jeffery Tucker</t>
  </si>
  <si>
    <t>FL250489</t>
  </si>
  <si>
    <t>Jeffrey Cooper</t>
  </si>
  <si>
    <t>FL250295</t>
  </si>
  <si>
    <t>Jeffrey Edwards</t>
  </si>
  <si>
    <t>FL250326</t>
  </si>
  <si>
    <t>Jennifer Allen</t>
  </si>
  <si>
    <t>FL250903</t>
  </si>
  <si>
    <t>Jennifer Baker</t>
  </si>
  <si>
    <t>FL250493</t>
  </si>
  <si>
    <t>Jennifer Carter</t>
  </si>
  <si>
    <t>FL250194</t>
  </si>
  <si>
    <t>Jennifer Cherry</t>
  </si>
  <si>
    <t>FL250182</t>
  </si>
  <si>
    <t>Jennifer Garcia</t>
  </si>
  <si>
    <t>FL250221</t>
  </si>
  <si>
    <t>Jennifer Gonzalez</t>
  </si>
  <si>
    <t>FL250995</t>
  </si>
  <si>
    <t>Jennifer Hinton</t>
  </si>
  <si>
    <t>FL250262</t>
  </si>
  <si>
    <t>Jennifer Holmes</t>
  </si>
  <si>
    <t>FL250371</t>
  </si>
  <si>
    <t>Jennifer Lara</t>
  </si>
  <si>
    <t>FL250108</t>
  </si>
  <si>
    <t>Jennifer Lewis</t>
  </si>
  <si>
    <t>FL250025</t>
  </si>
  <si>
    <t>Jennifer Martin</t>
  </si>
  <si>
    <t>FL250055</t>
  </si>
  <si>
    <t>Jennifer Mcintyre</t>
  </si>
  <si>
    <t>FL250925</t>
  </si>
  <si>
    <t>Jennifer Miller</t>
  </si>
  <si>
    <t>FL250492</t>
  </si>
  <si>
    <t>Jennifer Nelson</t>
  </si>
  <si>
    <t>FL250614</t>
  </si>
  <si>
    <t>Jennifer Phillips</t>
  </si>
  <si>
    <t>FL250852</t>
  </si>
  <si>
    <t>Jennifer Pierce</t>
  </si>
  <si>
    <t>FL250488</t>
  </si>
  <si>
    <t>Jennifer Rogers</t>
  </si>
  <si>
    <t>FL250210</t>
  </si>
  <si>
    <t>Jennifer Rowe</t>
  </si>
  <si>
    <t>FL250470</t>
  </si>
  <si>
    <t>Jennifer Sullivan</t>
  </si>
  <si>
    <t>FL250349</t>
  </si>
  <si>
    <t>Jeremiah Rodriguez</t>
  </si>
  <si>
    <t>FL250879</t>
  </si>
  <si>
    <t>Jeremiah Thompson</t>
  </si>
  <si>
    <t>FL250599</t>
  </si>
  <si>
    <t>Jeremy Hernandez</t>
  </si>
  <si>
    <t>FL250076</t>
  </si>
  <si>
    <t>Jeremy Meyer</t>
  </si>
  <si>
    <t>FL250174</t>
  </si>
  <si>
    <t>Jeremy Sawyer</t>
  </si>
  <si>
    <t>FL250785</t>
  </si>
  <si>
    <t>Jeremy Smith</t>
  </si>
  <si>
    <t>FL250868</t>
  </si>
  <si>
    <t>Jerry Price</t>
  </si>
  <si>
    <t>FL250120</t>
  </si>
  <si>
    <t>Jesse Campbell</t>
  </si>
  <si>
    <t>FL250189</t>
  </si>
  <si>
    <t>Jesse Cochran</t>
  </si>
  <si>
    <t>FL250471</t>
  </si>
  <si>
    <t>Jesse Moran</t>
  </si>
  <si>
    <t>FL250769</t>
  </si>
  <si>
    <t>Jessica Armstrong</t>
  </si>
  <si>
    <t>FL250453</t>
  </si>
  <si>
    <t>Jessica Campbell</t>
  </si>
  <si>
    <t>FL250730</t>
  </si>
  <si>
    <t>Jessica Chaney</t>
  </si>
  <si>
    <t>FL250592</t>
  </si>
  <si>
    <t>Jessica Decker</t>
  </si>
  <si>
    <t>FL250412</t>
  </si>
  <si>
    <t>Jessica Erickson</t>
  </si>
  <si>
    <t>FL250737</t>
  </si>
  <si>
    <t>Jessica Garza</t>
  </si>
  <si>
    <t>FL250590</t>
  </si>
  <si>
    <t>Jessica Gray</t>
  </si>
  <si>
    <t>FL250328</t>
  </si>
  <si>
    <t>Jessica Smith</t>
  </si>
  <si>
    <t>FL250035</t>
  </si>
  <si>
    <t>Jessica Snyder</t>
  </si>
  <si>
    <t>FL250116</t>
  </si>
  <si>
    <t>Jessica Torres</t>
  </si>
  <si>
    <t>FL250354</t>
  </si>
  <si>
    <t>Jessica Vance</t>
  </si>
  <si>
    <t>FL250880</t>
  </si>
  <si>
    <t>Jessica Williams DVM</t>
  </si>
  <si>
    <t>FL250203</t>
  </si>
  <si>
    <t>Jesus Martinez</t>
  </si>
  <si>
    <t>FL250461</t>
  </si>
  <si>
    <t>Jesus Quinn</t>
  </si>
  <si>
    <t>FL250201</t>
  </si>
  <si>
    <t>Jill Stephens</t>
  </si>
  <si>
    <t>FL250994</t>
  </si>
  <si>
    <t>Jim Weiss</t>
  </si>
  <si>
    <t>FL250054</t>
  </si>
  <si>
    <t>Jimmy Hogan</t>
  </si>
  <si>
    <t>FL250391</t>
  </si>
  <si>
    <t>Joanne Reyes</t>
  </si>
  <si>
    <t>FL250303</t>
  </si>
  <si>
    <t>Joel Brown III</t>
  </si>
  <si>
    <t>FL250649</t>
  </si>
  <si>
    <t>Joel Randolph</t>
  </si>
  <si>
    <t>FL250652</t>
  </si>
  <si>
    <t>John Arroyo</t>
  </si>
  <si>
    <t>FL250475</t>
  </si>
  <si>
    <t>John Bray</t>
  </si>
  <si>
    <t>FL250727</t>
  </si>
  <si>
    <t>John Castillo</t>
  </si>
  <si>
    <t>FL250549</t>
  </si>
  <si>
    <t>John Christian</t>
  </si>
  <si>
    <t>FL250642</t>
  </si>
  <si>
    <t>John Davis</t>
  </si>
  <si>
    <t>FL250565</t>
  </si>
  <si>
    <t>John Gonzales</t>
  </si>
  <si>
    <t>FL250731</t>
  </si>
  <si>
    <t>John Gray</t>
  </si>
  <si>
    <t>FL250336</t>
  </si>
  <si>
    <t>John Greene</t>
  </si>
  <si>
    <t>FL250464</t>
  </si>
  <si>
    <t>John Mathis</t>
  </si>
  <si>
    <t>FL250885</t>
  </si>
  <si>
    <t>John Mckinney</t>
  </si>
  <si>
    <t>FL250848</t>
  </si>
  <si>
    <t>John Nguyen</t>
  </si>
  <si>
    <t>FL250999</t>
  </si>
  <si>
    <t>John Obrien</t>
  </si>
  <si>
    <t>FL250509</t>
  </si>
  <si>
    <t>John Rios</t>
  </si>
  <si>
    <t>FL250705</t>
  </si>
  <si>
    <t>John Simpson</t>
  </si>
  <si>
    <t>FL250167</t>
  </si>
  <si>
    <t>John Smith</t>
  </si>
  <si>
    <t>FL250950</t>
  </si>
  <si>
    <t>John Weaver</t>
  </si>
  <si>
    <t>FL250360</t>
  </si>
  <si>
    <t>John Webb</t>
  </si>
  <si>
    <t>FL250761</t>
  </si>
  <si>
    <t>John White</t>
  </si>
  <si>
    <t>FL250972</t>
  </si>
  <si>
    <t>Johnny Rice</t>
  </si>
  <si>
    <t>FL250696</t>
  </si>
  <si>
    <t>Jon Jones</t>
  </si>
  <si>
    <t>FL250118</t>
  </si>
  <si>
    <t>Jon Morgan</t>
  </si>
  <si>
    <t>FL250129</t>
  </si>
  <si>
    <t>Jonathan Clark</t>
  </si>
  <si>
    <t>FL250140</t>
  </si>
  <si>
    <t>Jonathan Garza</t>
  </si>
  <si>
    <t>FL250791</t>
  </si>
  <si>
    <t>Jonathan Jones</t>
  </si>
  <si>
    <t>FL250074</t>
  </si>
  <si>
    <t>Jorge Riley</t>
  </si>
  <si>
    <t>FL250094</t>
  </si>
  <si>
    <t>Jose Jones</t>
  </si>
  <si>
    <t>FL250765</t>
  </si>
  <si>
    <t>Jose Patterson</t>
  </si>
  <si>
    <t>FL250330</t>
  </si>
  <si>
    <t>Jose Wilson</t>
  </si>
  <si>
    <t>FL250443</t>
  </si>
  <si>
    <t>Joseph Gonzalez</t>
  </si>
  <si>
    <t>FL250579</t>
  </si>
  <si>
    <t>Joseph Horn</t>
  </si>
  <si>
    <t>FL250229</t>
  </si>
  <si>
    <t>Joseph Kent</t>
  </si>
  <si>
    <t>FL250291</t>
  </si>
  <si>
    <t>Joseph Mendoza</t>
  </si>
  <si>
    <t>FL250832</t>
  </si>
  <si>
    <t>Joseph Miller</t>
  </si>
  <si>
    <t>FL250339</t>
  </si>
  <si>
    <t>Joseph Robinson</t>
  </si>
  <si>
    <t>FL250643</t>
  </si>
  <si>
    <t>Joseph Thomas</t>
  </si>
  <si>
    <t>FL250683</t>
  </si>
  <si>
    <t>Joseph Wood</t>
  </si>
  <si>
    <t>FL250139</t>
  </si>
  <si>
    <t>Joshua Armstrong</t>
  </si>
  <si>
    <t>FL250822</t>
  </si>
  <si>
    <t>Joshua Bush</t>
  </si>
  <si>
    <t>FL250538</t>
  </si>
  <si>
    <t>Joshua Chambers</t>
  </si>
  <si>
    <t>FL250782</t>
  </si>
  <si>
    <t>Joshua Holloway</t>
  </si>
  <si>
    <t>FL250676</t>
  </si>
  <si>
    <t>Joshua Owens</t>
  </si>
  <si>
    <t>FL250393</t>
  </si>
  <si>
    <t>Joshua Roberts</t>
  </si>
  <si>
    <t>FL250289</t>
  </si>
  <si>
    <t>Joyce Humphrey</t>
  </si>
  <si>
    <t>FL250667</t>
  </si>
  <si>
    <t>Juan Elliott</t>
  </si>
  <si>
    <t>FL250700</t>
  </si>
  <si>
    <t>Juan Hines</t>
  </si>
  <si>
    <t>FL250274</t>
  </si>
  <si>
    <t>Juan Mitchell</t>
  </si>
  <si>
    <t>FL250003</t>
  </si>
  <si>
    <t>Juan Nelson</t>
  </si>
  <si>
    <t>FL250545</t>
  </si>
  <si>
    <t>Judith Poole</t>
  </si>
  <si>
    <t>FL250468</t>
  </si>
  <si>
    <t>Judith Riggs</t>
  </si>
  <si>
    <t>FL250235</t>
  </si>
  <si>
    <t>Julia Murphy</t>
  </si>
  <si>
    <t>FL250833</t>
  </si>
  <si>
    <t>Julia Reid</t>
  </si>
  <si>
    <t>FL250959</t>
  </si>
  <si>
    <t>Julian Edwards</t>
  </si>
  <si>
    <t>FL250465</t>
  </si>
  <si>
    <t>Julie Barnett</t>
  </si>
  <si>
    <t>FL250456</t>
  </si>
  <si>
    <t>Julie Becker</t>
  </si>
  <si>
    <t>FL250051</t>
  </si>
  <si>
    <t>Julie Burgess</t>
  </si>
  <si>
    <t>FL250268</t>
  </si>
  <si>
    <t>Julie White</t>
  </si>
  <si>
    <t>FL250187</t>
  </si>
  <si>
    <t>Justin House</t>
  </si>
  <si>
    <t>FL250324</t>
  </si>
  <si>
    <t>Justin Johnson</t>
  </si>
  <si>
    <t>FL250846</t>
  </si>
  <si>
    <t>Justin Jones</t>
  </si>
  <si>
    <t>FL250576</t>
  </si>
  <si>
    <t>Justin Lang</t>
  </si>
  <si>
    <t>FL250469</t>
  </si>
  <si>
    <t>Justin Ruiz</t>
  </si>
  <si>
    <t>FL250132</t>
  </si>
  <si>
    <t>Kaitlyn Davis</t>
  </si>
  <si>
    <t>FL250043</t>
  </si>
  <si>
    <t>Kaitlyn Schmidt</t>
  </si>
  <si>
    <t>FL250217</t>
  </si>
  <si>
    <t>Karen Larsen</t>
  </si>
  <si>
    <t>FL250450</t>
  </si>
  <si>
    <t>Karen Mercer</t>
  </si>
  <si>
    <t>FL250694</t>
  </si>
  <si>
    <t>Karen Scott</t>
  </si>
  <si>
    <t>FL250777</t>
  </si>
  <si>
    <t>Katherine Carlson</t>
  </si>
  <si>
    <t>FL250902</t>
  </si>
  <si>
    <t>Kathleen Hendrix</t>
  </si>
  <si>
    <t>FL250419</t>
  </si>
  <si>
    <t>Kathleen Quinn</t>
  </si>
  <si>
    <t>FL250322</t>
  </si>
  <si>
    <t>Kathryn Myers</t>
  </si>
  <si>
    <t>FL250564</t>
  </si>
  <si>
    <t>Kathy Faulkner</t>
  </si>
  <si>
    <t>FL250719</t>
  </si>
  <si>
    <t>Kathy Grimes</t>
  </si>
  <si>
    <t>FL250909</t>
  </si>
  <si>
    <t>Kathy Reese</t>
  </si>
  <si>
    <t>FL250998</t>
  </si>
  <si>
    <t>Kathy Watkins</t>
  </si>
  <si>
    <t>FL250648</t>
  </si>
  <si>
    <t>Katie Hensley</t>
  </si>
  <si>
    <t>FL250706</t>
  </si>
  <si>
    <t>Katrina Schultz</t>
  </si>
  <si>
    <t>FL250474</t>
  </si>
  <si>
    <t>Kayla Meyers</t>
  </si>
  <si>
    <t>FL250591</t>
  </si>
  <si>
    <t>Keith Shaffer</t>
  </si>
  <si>
    <t>FL250794</t>
  </si>
  <si>
    <t>Keith Smith</t>
  </si>
  <si>
    <t>FL250484</t>
  </si>
  <si>
    <t>Keith Trujillo</t>
  </si>
  <si>
    <t>FL250577</t>
  </si>
  <si>
    <t>Kelli Ramirez</t>
  </si>
  <si>
    <t>FL250757</t>
  </si>
  <si>
    <t>Kellie Le</t>
  </si>
  <si>
    <t>FL250869</t>
  </si>
  <si>
    <t>Kelly Ellis</t>
  </si>
  <si>
    <t>FL250282</t>
  </si>
  <si>
    <t>Kelly Jones</t>
  </si>
  <si>
    <t>FL250793</t>
  </si>
  <si>
    <t>Kelly Lawson</t>
  </si>
  <si>
    <t>FL250906</t>
  </si>
  <si>
    <t>Kelly Shelton</t>
  </si>
  <si>
    <t>FL250519</t>
  </si>
  <si>
    <t>Kenneth Arias</t>
  </si>
  <si>
    <t>FL250646</t>
  </si>
  <si>
    <t>Kenneth Evans</t>
  </si>
  <si>
    <t>FL250583</t>
  </si>
  <si>
    <t>Kenneth Stevenson</t>
  </si>
  <si>
    <t>FL250541</t>
  </si>
  <si>
    <t>Kenneth Vasquez</t>
  </si>
  <si>
    <t>FL250376</t>
  </si>
  <si>
    <t>Kevin Ellis</t>
  </si>
  <si>
    <t>FL250497</t>
  </si>
  <si>
    <t>Kevin Flores</t>
  </si>
  <si>
    <t>FL250568</t>
  </si>
  <si>
    <t>Kevin Gonzales</t>
  </si>
  <si>
    <t>FL250856</t>
  </si>
  <si>
    <t>Kevin Serrano</t>
  </si>
  <si>
    <t>FL250542</t>
  </si>
  <si>
    <t>Kevin Smith</t>
  </si>
  <si>
    <t>FL250114</t>
  </si>
  <si>
    <t>Kevin Wong</t>
  </si>
  <si>
    <t>FL250904</t>
  </si>
  <si>
    <t>Kim Martinez</t>
  </si>
  <si>
    <t>FL250434</t>
  </si>
  <si>
    <t>Kimberly Allen</t>
  </si>
  <si>
    <t>FL250781</t>
  </si>
  <si>
    <t>Kimberly Brown</t>
  </si>
  <si>
    <t>FL250561</t>
  </si>
  <si>
    <t>Kimberly Fitzgerald</t>
  </si>
  <si>
    <t>FL250110</t>
  </si>
  <si>
    <t>Kimberly Griffin</t>
  </si>
  <si>
    <t>FL250104</t>
  </si>
  <si>
    <t>Kimberly Holland</t>
  </si>
  <si>
    <t>FL250594</t>
  </si>
  <si>
    <t>Kimberly Hunter</t>
  </si>
  <si>
    <t>FL250954</t>
  </si>
  <si>
    <t>Kimberly Marshall</t>
  </si>
  <si>
    <t>FL250184</t>
  </si>
  <si>
    <t>Kimberly Williams</t>
  </si>
  <si>
    <t>FL250908</t>
  </si>
  <si>
    <t>Kristen Haney</t>
  </si>
  <si>
    <t>FL250208</t>
  </si>
  <si>
    <t>Kristen Knight</t>
  </si>
  <si>
    <t>FL250246</t>
  </si>
  <si>
    <t>Kristen Williams</t>
  </si>
  <si>
    <t>FL250511</t>
  </si>
  <si>
    <t>Kristi Brown DVM</t>
  </si>
  <si>
    <t>FL250527</t>
  </si>
  <si>
    <t>Kristi Knight</t>
  </si>
  <si>
    <t>FL250936</t>
  </si>
  <si>
    <t>Kristina Miller</t>
  </si>
  <si>
    <t>FL250553</t>
  </si>
  <si>
    <t>Kristina Williams</t>
  </si>
  <si>
    <t>FL250847</t>
  </si>
  <si>
    <t>Kristine Garcia</t>
  </si>
  <si>
    <t>FL250100</t>
  </si>
  <si>
    <t>Kristopher Meyers</t>
  </si>
  <si>
    <t>FL250348</t>
  </si>
  <si>
    <t>Kurt Wilson</t>
  </si>
  <si>
    <t>FL250053</t>
  </si>
  <si>
    <t>Kyle Atkinson</t>
  </si>
  <si>
    <t>FL250916</t>
  </si>
  <si>
    <t>Kyle Burns</t>
  </si>
  <si>
    <t>FL250733</t>
  </si>
  <si>
    <t>Kyle Hall</t>
  </si>
  <si>
    <t>FL250889</t>
  </si>
  <si>
    <t>Kyle Ray</t>
  </si>
  <si>
    <t>FL250050</t>
  </si>
  <si>
    <t>Lance Griffin</t>
  </si>
  <si>
    <t>FL250496</t>
  </si>
  <si>
    <t>Lance Lester</t>
  </si>
  <si>
    <t>FL250056</t>
  </si>
  <si>
    <t>Larry Simpson</t>
  </si>
  <si>
    <t>FL250878</t>
  </si>
  <si>
    <t>Larry Wallace</t>
  </si>
  <si>
    <t>FL250965</t>
  </si>
  <si>
    <t>Latoya Brown</t>
  </si>
  <si>
    <t>FL250626</t>
  </si>
  <si>
    <t>Laura Butler</t>
  </si>
  <si>
    <t>FL250669</t>
  </si>
  <si>
    <t>Laura Evans</t>
  </si>
  <si>
    <t>FL250017</t>
  </si>
  <si>
    <t>Laura Johnson</t>
  </si>
  <si>
    <t>FL250359</t>
  </si>
  <si>
    <t>Laura Kelly</t>
  </si>
  <si>
    <t>FL250057</t>
  </si>
  <si>
    <t>Laura Price</t>
  </si>
  <si>
    <t>FL250955</t>
  </si>
  <si>
    <t>Laura Thompson</t>
  </si>
  <si>
    <t>FL250984</t>
  </si>
  <si>
    <t>Laura Wong DDS</t>
  </si>
  <si>
    <t>FL250758</t>
  </si>
  <si>
    <t>Lauren Henry</t>
  </si>
  <si>
    <t>FL250350</t>
  </si>
  <si>
    <t>Lauren Lang</t>
  </si>
  <si>
    <t>FL250931</t>
  </si>
  <si>
    <t>Lauren Lowery</t>
  </si>
  <si>
    <t>FL250287</t>
  </si>
  <si>
    <t>Lauren Ross</t>
  </si>
  <si>
    <t>FL250661</t>
  </si>
  <si>
    <t>Leah Harris</t>
  </si>
  <si>
    <t>FL250064</t>
  </si>
  <si>
    <t>Leah Phelps</t>
  </si>
  <si>
    <t>FL250113</t>
  </si>
  <si>
    <t>Leah Williams</t>
  </si>
  <si>
    <t>FL250144</t>
  </si>
  <si>
    <t>Lee Fowler</t>
  </si>
  <si>
    <t>FL250079</t>
  </si>
  <si>
    <t>Leslie Rodriguez</t>
  </si>
  <si>
    <t>FL250424</t>
  </si>
  <si>
    <t>Linda Schultz</t>
  </si>
  <si>
    <t>FL250747</t>
  </si>
  <si>
    <t>Linda Williams</t>
  </si>
  <si>
    <t>FL250850</t>
  </si>
  <si>
    <t>Linda Williamson</t>
  </si>
  <si>
    <t>FL250451</t>
  </si>
  <si>
    <t>Lindsay Hudson</t>
  </si>
  <si>
    <t>FL250829</t>
  </si>
  <si>
    <t>Lindsay Le</t>
  </si>
  <si>
    <t>FL250813</t>
  </si>
  <si>
    <t>Lindsay Potts</t>
  </si>
  <si>
    <t>FL250804</t>
  </si>
  <si>
    <t>Lindsay Rivera</t>
  </si>
  <si>
    <t>FL250142</t>
  </si>
  <si>
    <t>Lindsey Miles</t>
  </si>
  <si>
    <t>FL250887</t>
  </si>
  <si>
    <t>Lindsey Wang</t>
  </si>
  <si>
    <t>FL250877</t>
  </si>
  <si>
    <t>Lisa Beard DVM</t>
  </si>
  <si>
    <t>FL250977</t>
  </si>
  <si>
    <t>Lisa Hickman</t>
  </si>
  <si>
    <t>FL250006</t>
  </si>
  <si>
    <t>Lisa Johnson</t>
  </si>
  <si>
    <t>FL250690</t>
  </si>
  <si>
    <t>FL250969</t>
  </si>
  <si>
    <t>Lisa Werner MD</t>
  </si>
  <si>
    <t>FL250091</t>
  </si>
  <si>
    <t>Logan Huang</t>
  </si>
  <si>
    <t>FL250866</t>
  </si>
  <si>
    <t>Logan Zamora</t>
  </si>
  <si>
    <t>FL250395</t>
  </si>
  <si>
    <t>Lori Malone</t>
  </si>
  <si>
    <t>FL250924</t>
  </si>
  <si>
    <t>Lori Marshall</t>
  </si>
  <si>
    <t>FL250338</t>
  </si>
  <si>
    <t>Lori Miller</t>
  </si>
  <si>
    <t>FL250828</t>
  </si>
  <si>
    <t>Lori Perez</t>
  </si>
  <si>
    <t>FL250030</t>
  </si>
  <si>
    <t>Lori Smith</t>
  </si>
  <si>
    <t>FL250514</t>
  </si>
  <si>
    <t>Lorraine Lowery</t>
  </si>
  <si>
    <t>FL250311</t>
  </si>
  <si>
    <t>Lucas Chen</t>
  </si>
  <si>
    <t>FL250005</t>
  </si>
  <si>
    <t>Lynn Curtis DDS</t>
  </si>
  <si>
    <t>FL250662</t>
  </si>
  <si>
    <t>Lynn French</t>
  </si>
  <si>
    <t>FL250749</t>
  </si>
  <si>
    <t>Madison Mcintosh</t>
  </si>
  <si>
    <t>FL250368</t>
  </si>
  <si>
    <t>Manuel Torres</t>
  </si>
  <si>
    <t>FL250180</t>
  </si>
  <si>
    <t>Marc Joseph</t>
  </si>
  <si>
    <t>FL250786</t>
  </si>
  <si>
    <t>Marc Ortiz</t>
  </si>
  <si>
    <t>FL250917</t>
  </si>
  <si>
    <t>Margaret Garcia</t>
  </si>
  <si>
    <t>FL250570</t>
  </si>
  <si>
    <t>Margaret Perkins</t>
  </si>
  <si>
    <t>FL250888</t>
  </si>
  <si>
    <t>Margaret Schwartz</t>
  </si>
  <si>
    <t>FL250537</t>
  </si>
  <si>
    <t>Maria Benitez</t>
  </si>
  <si>
    <t>FL250534</t>
  </si>
  <si>
    <t>Maria Hall</t>
  </si>
  <si>
    <t>FL250150</t>
  </si>
  <si>
    <t>Maria Mcguire</t>
  </si>
  <si>
    <t>FL250027</t>
  </si>
  <si>
    <t>Marissa Bass</t>
  </si>
  <si>
    <t>FL250974</t>
  </si>
  <si>
    <t>Mark Chandler</t>
  </si>
  <si>
    <t>FL250745</t>
  </si>
  <si>
    <t>Mark Clark</t>
  </si>
  <si>
    <t>FL250603</t>
  </si>
  <si>
    <t>Mark Cochran</t>
  </si>
  <si>
    <t>FL250240</t>
  </si>
  <si>
    <t>Mark Cummings</t>
  </si>
  <si>
    <t>FL250477</t>
  </si>
  <si>
    <t>Mark Duncan</t>
  </si>
  <si>
    <t>FL250327</t>
  </si>
  <si>
    <t>Mark Hudson</t>
  </si>
  <si>
    <t>FL250799</t>
  </si>
  <si>
    <t>Mark Lopez</t>
  </si>
  <si>
    <t>FL250107</t>
  </si>
  <si>
    <t>Mark Paul</t>
  </si>
  <si>
    <t>FL250260</t>
  </si>
  <si>
    <t>Mark Perry</t>
  </si>
  <si>
    <t>FL250297</t>
  </si>
  <si>
    <t>Mark Thompson</t>
  </si>
  <si>
    <t>FL250805</t>
  </si>
  <si>
    <t>Mark Ward</t>
  </si>
  <si>
    <t>FL250058</t>
  </si>
  <si>
    <t>Mark Wright</t>
  </si>
  <si>
    <t>FL250604</t>
  </si>
  <si>
    <t>Martha Carson</t>
  </si>
  <si>
    <t>FL250701</t>
  </si>
  <si>
    <t>Martha Sweeney</t>
  </si>
  <si>
    <t>FL250881</t>
  </si>
  <si>
    <t>Martin Moreno</t>
  </si>
  <si>
    <t>FL250438</t>
  </si>
  <si>
    <t>Marvin Moore</t>
  </si>
  <si>
    <t>FL250864</t>
  </si>
  <si>
    <t>Marvin Woods III</t>
  </si>
  <si>
    <t>FL250378</t>
  </si>
  <si>
    <t>Mary Brown</t>
  </si>
  <si>
    <t>FL250695</t>
  </si>
  <si>
    <t>FL250797</t>
  </si>
  <si>
    <t>Mary Hall</t>
  </si>
  <si>
    <t>FL250467</t>
  </si>
  <si>
    <t>Mary Henry</t>
  </si>
  <si>
    <t>FL250790</t>
  </si>
  <si>
    <t>Mary Hernandez</t>
  </si>
  <si>
    <t>FL250286</t>
  </si>
  <si>
    <t>Mary Reed</t>
  </si>
  <si>
    <t>FL250876</t>
  </si>
  <si>
    <t>Mary Ward</t>
  </si>
  <si>
    <t>FL250686</t>
  </si>
  <si>
    <t>Matthew Baldwin</t>
  </si>
  <si>
    <t>FL250653</t>
  </si>
  <si>
    <t>Matthew Fernandez</t>
  </si>
  <si>
    <t>FL250478</t>
  </si>
  <si>
    <t>Matthew Gay</t>
  </si>
  <si>
    <t>FL250389</t>
  </si>
  <si>
    <t>Matthew Hicks</t>
  </si>
  <si>
    <t>FL250020</t>
  </si>
  <si>
    <t>Matthew Lawson</t>
  </si>
  <si>
    <t>FL250010</t>
  </si>
  <si>
    <t>Matthew Lloyd</t>
  </si>
  <si>
    <t>FL250234</t>
  </si>
  <si>
    <t>Matthew Martin</t>
  </si>
  <si>
    <t>FL250351</t>
  </si>
  <si>
    <t>Matthew Phillips</t>
  </si>
  <si>
    <t>FL250151</t>
  </si>
  <si>
    <t>Matthew Richards</t>
  </si>
  <si>
    <t>FL250090</t>
  </si>
  <si>
    <t>Matthew Smith</t>
  </si>
  <si>
    <t>FL250193</t>
  </si>
  <si>
    <t>FL250617</t>
  </si>
  <si>
    <t>Matthew Steele</t>
  </si>
  <si>
    <t>FL250973</t>
  </si>
  <si>
    <t>Matthew Strong</t>
  </si>
  <si>
    <t>FL250953</t>
  </si>
  <si>
    <t>Matthew White</t>
  </si>
  <si>
    <t>FL250529</t>
  </si>
  <si>
    <t>Maureen Keith</t>
  </si>
  <si>
    <t>FL250844</t>
  </si>
  <si>
    <t>Maxwell Johnson</t>
  </si>
  <si>
    <t>FL250280</t>
  </si>
  <si>
    <t>Meagan Walters</t>
  </si>
  <si>
    <t>FL250709</t>
  </si>
  <si>
    <t>Megan Bright</t>
  </si>
  <si>
    <t>FL250740</t>
  </si>
  <si>
    <t>Megan Brown</t>
  </si>
  <si>
    <t>FL250689</t>
  </si>
  <si>
    <t>Megan Hudson</t>
  </si>
  <si>
    <t>FL250029</t>
  </si>
  <si>
    <t>Megan Jones</t>
  </si>
  <si>
    <t>FL250230</t>
  </si>
  <si>
    <t>Megan Welch</t>
  </si>
  <si>
    <t>FL250606</t>
  </si>
  <si>
    <t>Megan Young</t>
  </si>
  <si>
    <t>FL250546</t>
  </si>
  <si>
    <t>Melanie Baird</t>
  </si>
  <si>
    <t>FL250024</t>
  </si>
  <si>
    <t>Melanie Carter</t>
  </si>
  <si>
    <t>FL250788</t>
  </si>
  <si>
    <t>Melanie Gay</t>
  </si>
  <si>
    <t>FL250271</t>
  </si>
  <si>
    <t>Melanie Harris</t>
  </si>
  <si>
    <t>FL250039</t>
  </si>
  <si>
    <t>Melinda White</t>
  </si>
  <si>
    <t>FL250660</t>
  </si>
  <si>
    <t>Melissa Maldonado</t>
  </si>
  <si>
    <t>FL250190</t>
  </si>
  <si>
    <t>Melissa Rich</t>
  </si>
  <si>
    <t>FL250776</t>
  </si>
  <si>
    <t>Melissa Vasquez</t>
  </si>
  <si>
    <t>FL250810</t>
  </si>
  <si>
    <t>Melody Barker</t>
  </si>
  <si>
    <t>FL250075</t>
  </si>
  <si>
    <t>Melvin Harris</t>
  </si>
  <si>
    <t>FL250283</t>
  </si>
  <si>
    <t>Michael Aguilar</t>
  </si>
  <si>
    <t>FL250352</t>
  </si>
  <si>
    <t>Michael Andersen</t>
  </si>
  <si>
    <t>FL250034</t>
  </si>
  <si>
    <t>Michael Anderson</t>
  </si>
  <si>
    <t>FL250178</t>
  </si>
  <si>
    <t>Michael Black</t>
  </si>
  <si>
    <t>FL250711</t>
  </si>
  <si>
    <t>Michael Clark</t>
  </si>
  <si>
    <t>FL250613</t>
  </si>
  <si>
    <t>Michael Davis</t>
  </si>
  <si>
    <t>FL250588</t>
  </si>
  <si>
    <t>Michael Garcia</t>
  </si>
  <si>
    <t>FL250684</t>
  </si>
  <si>
    <t>Michael Harrell</t>
  </si>
  <si>
    <t>FL250582</t>
  </si>
  <si>
    <t>Michael Holland</t>
  </si>
  <si>
    <t>FL250826</t>
  </si>
  <si>
    <t>Michael Mcmahon</t>
  </si>
  <si>
    <t>FL250597</t>
  </si>
  <si>
    <t>Michael Miller</t>
  </si>
  <si>
    <t>FL250502</t>
  </si>
  <si>
    <t>Michael Nunez</t>
  </si>
  <si>
    <t>FL250421</t>
  </si>
  <si>
    <t>Michael Reed</t>
  </si>
  <si>
    <t>FL250084</t>
  </si>
  <si>
    <t>Michael Roberson</t>
  </si>
  <si>
    <t>FL250318</t>
  </si>
  <si>
    <t>Michael Rogers</t>
  </si>
  <si>
    <t>FL250214</t>
  </si>
  <si>
    <t>Michael Ruiz</t>
  </si>
  <si>
    <t>FL250504</t>
  </si>
  <si>
    <t>Michael Stein</t>
  </si>
  <si>
    <t>FL250827</t>
  </si>
  <si>
    <t>Michael Watson</t>
  </si>
  <si>
    <t>FL250233</t>
  </si>
  <si>
    <t>Michael Williams Jr.</t>
  </si>
  <si>
    <t>FL250183</t>
  </si>
  <si>
    <t>Michael Zavala</t>
  </si>
  <si>
    <t>FL250589</t>
  </si>
  <si>
    <t>Michele Duran</t>
  </si>
  <si>
    <t>FL250891</t>
  </si>
  <si>
    <t>Michele Jones</t>
  </si>
  <si>
    <t>FL250618</t>
  </si>
  <si>
    <t>Michele Taylor</t>
  </si>
  <si>
    <t>FL250814</t>
  </si>
  <si>
    <t>Michelle Campbell</t>
  </si>
  <si>
    <t>FL250865</t>
  </si>
  <si>
    <t>Michelle Cook</t>
  </si>
  <si>
    <t>FL250012</t>
  </si>
  <si>
    <t>Michelle Curtis</t>
  </si>
  <si>
    <t>FL250787</t>
  </si>
  <si>
    <t>Michelle Gregory</t>
  </si>
  <si>
    <t>FL250223</t>
  </si>
  <si>
    <t>Michelle Hill</t>
  </si>
  <si>
    <t>FL250988</t>
  </si>
  <si>
    <t>Michelle Peterson</t>
  </si>
  <si>
    <t>FL250045</t>
  </si>
  <si>
    <t>Michelle Ramirez</t>
  </si>
  <si>
    <t>FL250991</t>
  </si>
  <si>
    <t>Michelle Solis</t>
  </si>
  <si>
    <t>FL250161</t>
  </si>
  <si>
    <t>Michelle Wu</t>
  </si>
  <si>
    <t>FL250301</t>
  </si>
  <si>
    <t>Miguel Rogers</t>
  </si>
  <si>
    <t>FL250211</t>
  </si>
  <si>
    <t>Mikayla Henry</t>
  </si>
  <si>
    <t>FL250329</t>
  </si>
  <si>
    <t>Mike Dean</t>
  </si>
  <si>
    <t>FL250294</t>
  </si>
  <si>
    <t>Mike Stanley</t>
  </si>
  <si>
    <t>FL250409</t>
  </si>
  <si>
    <t>Mindy Sullivan</t>
  </si>
  <si>
    <t>FL250397</t>
  </si>
  <si>
    <t>Mindy York</t>
  </si>
  <si>
    <t>FL250092</t>
  </si>
  <si>
    <t>Miranda Hutchinson</t>
  </si>
  <si>
    <t>FL250739</t>
  </si>
  <si>
    <t>Misty Adams</t>
  </si>
  <si>
    <t>FL250377</t>
  </si>
  <si>
    <t>Mitchell Keller</t>
  </si>
  <si>
    <t>FL250155</t>
  </si>
  <si>
    <t>Mitchell Martin</t>
  </si>
  <si>
    <t>FL250156</t>
  </si>
  <si>
    <t>Mitchell Patrick</t>
  </si>
  <si>
    <t>FL250244</t>
  </si>
  <si>
    <t>Mitchell Watson</t>
  </si>
  <si>
    <t>FL250245</t>
  </si>
  <si>
    <t>Monica Murphy</t>
  </si>
  <si>
    <t>FL250215</t>
  </si>
  <si>
    <t>Monica Roberts</t>
  </si>
  <si>
    <t>FL250472</t>
  </si>
  <si>
    <t>Monica Smith</t>
  </si>
  <si>
    <t>FL250524</t>
  </si>
  <si>
    <t>Monica West</t>
  </si>
  <si>
    <t>FL250423</t>
  </si>
  <si>
    <t>Morgan Ford</t>
  </si>
  <si>
    <t>FL250942</t>
  </si>
  <si>
    <t>Nancy Glover</t>
  </si>
  <si>
    <t>FL250273</t>
  </si>
  <si>
    <t>Nancy Long</t>
  </si>
  <si>
    <t>FL250299</t>
  </si>
  <si>
    <t>Nancy Mendez</t>
  </si>
  <si>
    <t>FL250682</t>
  </si>
  <si>
    <t>Nancy Moore</t>
  </si>
  <si>
    <t>FL250550</t>
  </si>
  <si>
    <t>Nancy Smith</t>
  </si>
  <si>
    <t>FL250692</t>
  </si>
  <si>
    <t>Natalie Diaz</t>
  </si>
  <si>
    <t>FL250420</t>
  </si>
  <si>
    <t>Natalie Frank MD</t>
  </si>
  <si>
    <t>FL250159</t>
  </si>
  <si>
    <t>Nathan Blair</t>
  </si>
  <si>
    <t>FL250940</t>
  </si>
  <si>
    <t>Nathan Davis</t>
  </si>
  <si>
    <t>FL250899</t>
  </si>
  <si>
    <t>Nathan Huff</t>
  </si>
  <si>
    <t>FL250956</t>
  </si>
  <si>
    <t>Nathan Soto</t>
  </si>
  <si>
    <t>FL250857</t>
  </si>
  <si>
    <t>Nathaniel Benson</t>
  </si>
  <si>
    <t>FL250332</t>
  </si>
  <si>
    <t>Nathaniel Flores</t>
  </si>
  <si>
    <t>FL250073</t>
  </si>
  <si>
    <t>Nicholas Burton</t>
  </si>
  <si>
    <t>FL250170</t>
  </si>
  <si>
    <t>Nicholas Carpenter</t>
  </si>
  <si>
    <t>FL250861</t>
  </si>
  <si>
    <t>Nicholas Guerrero</t>
  </si>
  <si>
    <t>FL250960</t>
  </si>
  <si>
    <t>Nicholas Scott</t>
  </si>
  <si>
    <t>FL250628</t>
  </si>
  <si>
    <t>Nicole Austin</t>
  </si>
  <si>
    <t>FL250930</t>
  </si>
  <si>
    <t>Nicole Bennett</t>
  </si>
  <si>
    <t>FL250562</t>
  </si>
  <si>
    <t>Nicole Davis</t>
  </si>
  <si>
    <t>FL250001</t>
  </si>
  <si>
    <t>Nicole Kidd</t>
  </si>
  <si>
    <t>FL250383</t>
  </si>
  <si>
    <t>Nicole Marks</t>
  </si>
  <si>
    <t>FL250200</t>
  </si>
  <si>
    <t>Nicole Meyers</t>
  </si>
  <si>
    <t>FL250344</t>
  </si>
  <si>
    <t>Nicole Rocha</t>
  </si>
  <si>
    <t>FL250620</t>
  </si>
  <si>
    <t>Nicole Taylor</t>
  </si>
  <si>
    <t>FL250247</t>
  </si>
  <si>
    <t>Nicole Wright</t>
  </si>
  <si>
    <t>FL250463</t>
  </si>
  <si>
    <t>Nicole York</t>
  </si>
  <si>
    <t>FL250080</t>
  </si>
  <si>
    <t>Noah Wiggins</t>
  </si>
  <si>
    <t>FL250304</t>
  </si>
  <si>
    <t>Olivia Schultz</t>
  </si>
  <si>
    <t>FL250601</t>
  </si>
  <si>
    <t>Pamela Larson</t>
  </si>
  <si>
    <t>FL250160</t>
  </si>
  <si>
    <t>Patricia Lopez</t>
  </si>
  <si>
    <t>FL250334</t>
  </si>
  <si>
    <t>Patricia Miller</t>
  </si>
  <si>
    <t>FL250914</t>
  </si>
  <si>
    <t>Patricia Richardson</t>
  </si>
  <si>
    <t>FL250179</t>
  </si>
  <si>
    <t>Patricia Sanders</t>
  </si>
  <si>
    <t>FL250752</t>
  </si>
  <si>
    <t>Patricia Scott</t>
  </si>
  <si>
    <t>FL250191</t>
  </si>
  <si>
    <t>Patrick Dunlap</t>
  </si>
  <si>
    <t>FL250152</t>
  </si>
  <si>
    <t>Patrick Malone</t>
  </si>
  <si>
    <t>FL250480</t>
  </si>
  <si>
    <t>Patrick Welch</t>
  </si>
  <si>
    <t>FL250387</t>
  </si>
  <si>
    <t>Paul Brown</t>
  </si>
  <si>
    <t>FL250919</t>
  </si>
  <si>
    <t>Paul Campbell</t>
  </si>
  <si>
    <t>FL250093</t>
  </si>
  <si>
    <t>Paul Richardson</t>
  </si>
  <si>
    <t>FL250432</t>
  </si>
  <si>
    <t>Paul Williamson</t>
  </si>
  <si>
    <t>FL250325</t>
  </si>
  <si>
    <t>Paula Stevens</t>
  </si>
  <si>
    <t>FL250135</t>
  </si>
  <si>
    <t>Penny Day</t>
  </si>
  <si>
    <t>FL250207</t>
  </si>
  <si>
    <t>Peter Reyes</t>
  </si>
  <si>
    <t>FL250403</t>
  </si>
  <si>
    <t>Phillip Griffin</t>
  </si>
  <si>
    <t>FL250014</t>
  </si>
  <si>
    <t>Phillip Shelton</t>
  </si>
  <si>
    <t>FL250384</t>
  </si>
  <si>
    <t>Phyllis Dawson</t>
  </si>
  <si>
    <t>FL250721</t>
  </si>
  <si>
    <t>Rachel Rogers</t>
  </si>
  <si>
    <t>FL250596</t>
  </si>
  <si>
    <t>Rachel Smith</t>
  </si>
  <si>
    <t>FL250898</t>
  </si>
  <si>
    <t>Randall Barrett</t>
  </si>
  <si>
    <t>FL250658</t>
  </si>
  <si>
    <t>Randy Bender</t>
  </si>
  <si>
    <t>FL250491</t>
  </si>
  <si>
    <t>Raymond Sherman</t>
  </si>
  <si>
    <t>FL250712</t>
  </si>
  <si>
    <t>Rebecca Barker</t>
  </si>
  <si>
    <t>FL250157</t>
  </si>
  <si>
    <t>Rebecca Lyons</t>
  </si>
  <si>
    <t>FL250335</t>
  </si>
  <si>
    <t>Rebecca Schneider</t>
  </si>
  <si>
    <t>FL250065</t>
  </si>
  <si>
    <t>Rebekah Williams</t>
  </si>
  <si>
    <t>FL250425</t>
  </si>
  <si>
    <t>Regina Daniel</t>
  </si>
  <si>
    <t>FL250678</t>
  </si>
  <si>
    <t>Regina Dunn</t>
  </si>
  <si>
    <t>FL250845</t>
  </si>
  <si>
    <t>Reginald Stephens</t>
  </si>
  <si>
    <t>FL250385</t>
  </si>
  <si>
    <t>Renee Arnold</t>
  </si>
  <si>
    <t>FL250809</t>
  </si>
  <si>
    <t>Rhonda Hernandez</t>
  </si>
  <si>
    <t>FL250957</t>
  </si>
  <si>
    <t>Rhonda Hines</t>
  </si>
  <si>
    <t>FL250659</t>
  </si>
  <si>
    <t>Richard Dominguez</t>
  </si>
  <si>
    <t>FL250482</t>
  </si>
  <si>
    <t>Richard Harvey</t>
  </si>
  <si>
    <t>FL250812</t>
  </si>
  <si>
    <t>Richard Hill</t>
  </si>
  <si>
    <t>FL250277</t>
  </si>
  <si>
    <t>Richard Mcguire</t>
  </si>
  <si>
    <t>FL250220</t>
  </si>
  <si>
    <t>Richard Quinn</t>
  </si>
  <si>
    <t>FL250943</t>
  </si>
  <si>
    <t>Richard Sanchez</t>
  </si>
  <si>
    <t>FL250760</t>
  </si>
  <si>
    <t>Richard Smith</t>
  </si>
  <si>
    <t>FL250347</t>
  </si>
  <si>
    <t>Richard Velasquez Jr.</t>
  </si>
  <si>
    <t>FL250008</t>
  </si>
  <si>
    <t>Ricky Graham</t>
  </si>
  <si>
    <t>FL250548</t>
  </si>
  <si>
    <t>Ricky Martinez</t>
  </si>
  <si>
    <t>FL250115</t>
  </si>
  <si>
    <t>Robert Andrews</t>
  </si>
  <si>
    <t>FL250218</t>
  </si>
  <si>
    <t>Robert Evans</t>
  </si>
  <si>
    <t>FL250913</t>
  </si>
  <si>
    <t>FL250307</t>
  </si>
  <si>
    <t>Robert Lucas</t>
  </si>
  <si>
    <t>FL250964</t>
  </si>
  <si>
    <t>Robert Meza</t>
  </si>
  <si>
    <t>FL250985</t>
  </si>
  <si>
    <t>Robert Moran</t>
  </si>
  <si>
    <t>FL250033</t>
  </si>
  <si>
    <t>Robert Nelson</t>
  </si>
  <si>
    <t>FL250945</t>
  </si>
  <si>
    <t>Robert Salazar</t>
  </si>
  <si>
    <t>FL250505</t>
  </si>
  <si>
    <t>Robert Stone</t>
  </si>
  <si>
    <t>FL250323</t>
  </si>
  <si>
    <t>Robert Walls</t>
  </si>
  <si>
    <t>FL250166</t>
  </si>
  <si>
    <t>Robin Acosta</t>
  </si>
  <si>
    <t>FL250816</t>
  </si>
  <si>
    <t>Robin Hinton</t>
  </si>
  <si>
    <t>FL250499</t>
  </si>
  <si>
    <t>Robin Moore</t>
  </si>
  <si>
    <t>FL250837</t>
  </si>
  <si>
    <t>Robin Ortiz</t>
  </si>
  <si>
    <t>FL250900</t>
  </si>
  <si>
    <t>Robin Walsh</t>
  </si>
  <si>
    <t>FL250560</t>
  </si>
  <si>
    <t>Rodney Wilson</t>
  </si>
  <si>
    <t>FL250089</t>
  </si>
  <si>
    <t>Ronald Barrett</t>
  </si>
  <si>
    <t>FL250513</t>
  </si>
  <si>
    <t>Ronald Elliott</t>
  </si>
  <si>
    <t>FL250734</t>
  </si>
  <si>
    <t>Ronald Munoz</t>
  </si>
  <si>
    <t>FL250314</t>
  </si>
  <si>
    <t>Ronald Smith</t>
  </si>
  <si>
    <t>FL250379</t>
  </si>
  <si>
    <t>Ronald Walls</t>
  </si>
  <si>
    <t>FL250665</t>
  </si>
  <si>
    <t>Roy Collins</t>
  </si>
  <si>
    <t>FL250851</t>
  </si>
  <si>
    <t>Roy Wilson</t>
  </si>
  <si>
    <t>FL250312</t>
  </si>
  <si>
    <t>Ruben Nelson</t>
  </si>
  <si>
    <t>FL250811</t>
  </si>
  <si>
    <t>Russell Carpenter</t>
  </si>
  <si>
    <t>FL250226</t>
  </si>
  <si>
    <t>Ryan Crawford</t>
  </si>
  <si>
    <t>FL250602</t>
  </si>
  <si>
    <t>Ryan Ewing</t>
  </si>
  <si>
    <t>FL250213</t>
  </si>
  <si>
    <t>Ryan Johnson</t>
  </si>
  <si>
    <t>FL250802</t>
  </si>
  <si>
    <t>Ryan Powell</t>
  </si>
  <si>
    <t>FL250751</t>
  </si>
  <si>
    <t>Ryan Taylor</t>
  </si>
  <si>
    <t>FL250406</t>
  </si>
  <si>
    <t>Sabrina Davidson</t>
  </si>
  <si>
    <t>FL250522</t>
  </si>
  <si>
    <t>Samantha King</t>
  </si>
  <si>
    <t>FL250834</t>
  </si>
  <si>
    <t>Samantha Matthews</t>
  </si>
  <si>
    <t>FL250059</t>
  </si>
  <si>
    <t>Samantha Mcdaniel</t>
  </si>
  <si>
    <t>FL250871</t>
  </si>
  <si>
    <t>Samantha Norman</t>
  </si>
  <si>
    <t>FL250666</t>
  </si>
  <si>
    <t>Samantha Porter</t>
  </si>
  <si>
    <t>FL250047</t>
  </si>
  <si>
    <t>Samantha Simmons</t>
  </si>
  <si>
    <t>FL250622</t>
  </si>
  <si>
    <t>Samuel Patterson</t>
  </si>
  <si>
    <t>FL250087</t>
  </si>
  <si>
    <t>Samuel Pierce</t>
  </si>
  <si>
    <t>FL250022</t>
  </si>
  <si>
    <t>Samuel Sanford</t>
  </si>
  <si>
    <t>FL250736</t>
  </si>
  <si>
    <t>Sandra Ali</t>
  </si>
  <si>
    <t>FL250938</t>
  </si>
  <si>
    <t>Sandra Henry</t>
  </si>
  <si>
    <t>FL250581</t>
  </si>
  <si>
    <t>Sandra Mccormick</t>
  </si>
  <si>
    <t>FL250993</t>
  </si>
  <si>
    <t>Sandra Preston</t>
  </si>
  <si>
    <t>FL250671</t>
  </si>
  <si>
    <t>Sandra Williams</t>
  </si>
  <si>
    <t>FL250413</t>
  </si>
  <si>
    <t>Sara Moses</t>
  </si>
  <si>
    <t>FL250632</t>
  </si>
  <si>
    <t>Sarah Anderson</t>
  </si>
  <si>
    <t>FL250872</t>
  </si>
  <si>
    <t>Sarah Clarke</t>
  </si>
  <si>
    <t>FL250664</t>
  </si>
  <si>
    <t>Sarah Edwards</t>
  </si>
  <si>
    <t>FL250428</t>
  </si>
  <si>
    <t>Sarah Hall</t>
  </si>
  <si>
    <t>FL250242</t>
  </si>
  <si>
    <t>Sarah Ho</t>
  </si>
  <si>
    <t>FL250886</t>
  </si>
  <si>
    <t>FL250968</t>
  </si>
  <si>
    <t>Sarah Miller</t>
  </si>
  <si>
    <t>FL250388</t>
  </si>
  <si>
    <t>Sarah Proctor</t>
  </si>
  <si>
    <t>FL250612</t>
  </si>
  <si>
    <t>Sarah White</t>
  </si>
  <si>
    <t>FL250944</t>
  </si>
  <si>
    <t>Savannah Reid</t>
  </si>
  <si>
    <t>FL250042</t>
  </si>
  <si>
    <t>Savannah Williams</t>
  </si>
  <si>
    <t>FL250742</t>
  </si>
  <si>
    <t>Scott Alexander MD</t>
  </si>
  <si>
    <t>FL250018</t>
  </si>
  <si>
    <t>Scott Burns</t>
  </si>
  <si>
    <t>FL250523</t>
  </si>
  <si>
    <t>Scott Compton</t>
  </si>
  <si>
    <t>FL250369</t>
  </si>
  <si>
    <t>Scott Keller</t>
  </si>
  <si>
    <t>FL250830</t>
  </si>
  <si>
    <t>Scott Long</t>
  </si>
  <si>
    <t>FL250441</t>
  </si>
  <si>
    <t>Scott Washington</t>
  </si>
  <si>
    <t>FL250163</t>
  </si>
  <si>
    <t>Sean Gordon</t>
  </si>
  <si>
    <t>FL250009</t>
  </si>
  <si>
    <t>Sean Martin</t>
  </si>
  <si>
    <t>FL250558</t>
  </si>
  <si>
    <t>Sean Martinez</t>
  </si>
  <si>
    <t>FL250544</t>
  </si>
  <si>
    <t>Sean Park</t>
  </si>
  <si>
    <t>FL250219</t>
  </si>
  <si>
    <t>Sean Poole</t>
  </si>
  <si>
    <t>FL250989</t>
  </si>
  <si>
    <t>Seth Thomas</t>
  </si>
  <si>
    <t>FL250732</t>
  </si>
  <si>
    <t>Shane Booker</t>
  </si>
  <si>
    <t>FL250718</t>
  </si>
  <si>
    <t>Shane Hale</t>
  </si>
  <si>
    <t>FL250206</t>
  </si>
  <si>
    <t>Shannon Farmer</t>
  </si>
  <si>
    <t>FL250566</t>
  </si>
  <si>
    <t>Shannon Luna</t>
  </si>
  <si>
    <t>FL250784</t>
  </si>
  <si>
    <t>Shawn Delgado</t>
  </si>
  <si>
    <t>FL250530</t>
  </si>
  <si>
    <t>Shawn Hogan</t>
  </si>
  <si>
    <t>FL250723</t>
  </si>
  <si>
    <t>Shawna Palmer</t>
  </si>
  <si>
    <t>FL250422</t>
  </si>
  <si>
    <t>Sheila Smith</t>
  </si>
  <si>
    <t>FL250096</t>
  </si>
  <si>
    <t>Shelby Mcmahon</t>
  </si>
  <si>
    <t>FL250131</t>
  </si>
  <si>
    <t>Shelly Whitehead</t>
  </si>
  <si>
    <t>FL250199</t>
  </si>
  <si>
    <t>Shirley Strickland</t>
  </si>
  <si>
    <t>FL250912</t>
  </si>
  <si>
    <t>Sonya Haley</t>
  </si>
  <si>
    <t>FL250404</t>
  </si>
  <si>
    <t>Stacie Wall</t>
  </si>
  <si>
    <t>FL250532</t>
  </si>
  <si>
    <t>Stacy Bailey</t>
  </si>
  <si>
    <t>FL250440</t>
  </si>
  <si>
    <t>Stacy Hudson</t>
  </si>
  <si>
    <t>FL250103</t>
  </si>
  <si>
    <t>Stacy Sutton</t>
  </si>
  <si>
    <t>FL250452</t>
  </si>
  <si>
    <t>Stephanie Armstrong</t>
  </si>
  <si>
    <t>FL250567</t>
  </si>
  <si>
    <t>Stephanie Burton</t>
  </si>
  <si>
    <t>FL250250</t>
  </si>
  <si>
    <t>Stephanie Carter</t>
  </si>
  <si>
    <t>FL250278</t>
  </si>
  <si>
    <t>Stephanie Fisher</t>
  </si>
  <si>
    <t>FL250843</t>
  </si>
  <si>
    <t>Stephanie Guzman</t>
  </si>
  <si>
    <t>FL250231</t>
  </si>
  <si>
    <t>Stephen Ramirez</t>
  </si>
  <si>
    <t>FL250907</t>
  </si>
  <si>
    <t>Steven Duncan</t>
  </si>
  <si>
    <t>FL250863</t>
  </si>
  <si>
    <t>Steven Flowers</t>
  </si>
  <si>
    <t>FL250259</t>
  </si>
  <si>
    <t>Steven Jackson</t>
  </si>
  <si>
    <t>FL250145</t>
  </si>
  <si>
    <t>Steven Jones Jr.</t>
  </si>
  <si>
    <t>FL250526</t>
  </si>
  <si>
    <t>Steven Kim</t>
  </si>
  <si>
    <t>FL250688</t>
  </si>
  <si>
    <t>Steven Moore</t>
  </si>
  <si>
    <t>FL250910</t>
  </si>
  <si>
    <t>Steven Murphy</t>
  </si>
  <si>
    <t>FL250408</t>
  </si>
  <si>
    <t>Steven Norris</t>
  </si>
  <si>
    <t>FL250447</t>
  </si>
  <si>
    <t>Steven Whitaker</t>
  </si>
  <si>
    <t>FL250165</t>
  </si>
  <si>
    <t>Steven Whitney</t>
  </si>
  <si>
    <t>FL250756</t>
  </si>
  <si>
    <t>Stuart Mckinney</t>
  </si>
  <si>
    <t>FL250629</t>
  </si>
  <si>
    <t>Summer Williams</t>
  </si>
  <si>
    <t>FL250365</t>
  </si>
  <si>
    <t>Summer Yoder</t>
  </si>
  <si>
    <t>FL250168</t>
  </si>
  <si>
    <t>Susan Baker</t>
  </si>
  <si>
    <t>FL250415</t>
  </si>
  <si>
    <t>Susan Dixon</t>
  </si>
  <si>
    <t>FL250609</t>
  </si>
  <si>
    <t>Susan Smith</t>
  </si>
  <si>
    <t>FL250500</t>
  </si>
  <si>
    <t>Suzanne Ingram</t>
  </si>
  <si>
    <t>FL250767</t>
  </si>
  <si>
    <t>Tammy Gomez</t>
  </si>
  <si>
    <t>FL250655</t>
  </si>
  <si>
    <t>Tammy Greer</t>
  </si>
  <si>
    <t>FL250331</t>
  </si>
  <si>
    <t>Tammy Hill</t>
  </si>
  <si>
    <t>FL250117</t>
  </si>
  <si>
    <t>Teresa Kim</t>
  </si>
  <si>
    <t>FL250525</t>
  </si>
  <si>
    <t>Theresa Stewart</t>
  </si>
  <si>
    <t>FL250607</t>
  </si>
  <si>
    <t>Thomas Davis</t>
  </si>
  <si>
    <t>FL250533</t>
  </si>
  <si>
    <t>Thomas Dixon</t>
  </si>
  <si>
    <t>FL250136</t>
  </si>
  <si>
    <t>Thomas Ingram</t>
  </si>
  <si>
    <t>FL250947</t>
  </si>
  <si>
    <t>Thomas Jackson</t>
  </si>
  <si>
    <t>FL250197</t>
  </si>
  <si>
    <t>Thomas Jones</t>
  </si>
  <si>
    <t>FL250543</t>
  </si>
  <si>
    <t>Thomas Kim</t>
  </si>
  <si>
    <t>FL250072</t>
  </si>
  <si>
    <t>Thomas Miller</t>
  </si>
  <si>
    <t>FL250608</t>
  </si>
  <si>
    <t>Thomas Mooney</t>
  </si>
  <si>
    <t>FL250302</t>
  </si>
  <si>
    <t>Thomas Robles</t>
  </si>
  <si>
    <t>FL250101</t>
  </si>
  <si>
    <t>Thomas Roth</t>
  </si>
  <si>
    <t>FL250631</t>
  </si>
  <si>
    <t>Thomas Wall</t>
  </si>
  <si>
    <t>FL250926</t>
  </si>
  <si>
    <t>Thomas Young</t>
  </si>
  <si>
    <t>FL250460</t>
  </si>
  <si>
    <t>Tiffany Bowman</t>
  </si>
  <si>
    <t>FL250773</t>
  </si>
  <si>
    <t>Tiffany Moses</t>
  </si>
  <si>
    <t>FL250976</t>
  </si>
  <si>
    <t>Timothy Barton</t>
  </si>
  <si>
    <t>FL250584</t>
  </si>
  <si>
    <t>Timothy Bennett</t>
  </si>
  <si>
    <t>FL250032</t>
  </si>
  <si>
    <t>Timothy Daniels</t>
  </si>
  <si>
    <t>FL250077</t>
  </si>
  <si>
    <t>Timothy Lee</t>
  </si>
  <si>
    <t>FL250442</t>
  </si>
  <si>
    <t>Timothy Wright</t>
  </si>
  <si>
    <t>FL250948</t>
  </si>
  <si>
    <t>Tina Clark</t>
  </si>
  <si>
    <t>FL250600</t>
  </si>
  <si>
    <t>Tina Shelton</t>
  </si>
  <si>
    <t>FL250634</t>
  </si>
  <si>
    <t>Todd Casey</t>
  </si>
  <si>
    <t>FL250715</t>
  </si>
  <si>
    <t>Todd Turner</t>
  </si>
  <si>
    <t>FL250494</t>
  </si>
  <si>
    <t>Todd Williams</t>
  </si>
  <si>
    <t>FL250836</t>
  </si>
  <si>
    <t>Toni Hinton</t>
  </si>
  <si>
    <t>FL250439</t>
  </si>
  <si>
    <t>Tony French</t>
  </si>
  <si>
    <t>FL250939</t>
  </si>
  <si>
    <t>Tony Hester</t>
  </si>
  <si>
    <t>FL250535</t>
  </si>
  <si>
    <t>Tony Lee</t>
  </si>
  <si>
    <t>FL250572</t>
  </si>
  <si>
    <t>Tonya Gonzalez</t>
  </si>
  <si>
    <t>FL250691</t>
  </si>
  <si>
    <t>Tracy White</t>
  </si>
  <si>
    <t>FL250722</t>
  </si>
  <si>
    <t>Travis Braun</t>
  </si>
  <si>
    <t>FL250105</t>
  </si>
  <si>
    <t>Travis Richardson</t>
  </si>
  <si>
    <t>FL250192</t>
  </si>
  <si>
    <t>Troy Carson</t>
  </si>
  <si>
    <t>FL250019</t>
  </si>
  <si>
    <t>Tyler Aguirre</t>
  </si>
  <si>
    <t>FL250557</t>
  </si>
  <si>
    <t>Tyler Cooper</t>
  </si>
  <si>
    <t>FL250111</t>
  </si>
  <si>
    <t>Tyler Warner</t>
  </si>
  <si>
    <t>FL250934</t>
  </si>
  <si>
    <t>Valerie Finley</t>
  </si>
  <si>
    <t>FL250928</t>
  </si>
  <si>
    <t>Valerie Gutierrez</t>
  </si>
  <si>
    <t>FL250002</t>
  </si>
  <si>
    <t>Vanessa Garcia</t>
  </si>
  <si>
    <t>FL250181</t>
  </si>
  <si>
    <t>Vanessa White</t>
  </si>
  <si>
    <t>FL250082</t>
  </si>
  <si>
    <t>Veronica Baker</t>
  </si>
  <si>
    <t>FL250243</t>
  </si>
  <si>
    <t>Veronica Thomas</t>
  </si>
  <si>
    <t>FL250102</t>
  </si>
  <si>
    <t>Vicki Brown</t>
  </si>
  <si>
    <t>FL250068</t>
  </si>
  <si>
    <t>Vicki Kelly</t>
  </si>
  <si>
    <t>FL250515</t>
  </si>
  <si>
    <t>Victoria Chapman</t>
  </si>
  <si>
    <t>FL250341</t>
  </si>
  <si>
    <t>Victoria Miller</t>
  </si>
  <si>
    <t>FL250520</t>
  </si>
  <si>
    <t>Victoria Owen</t>
  </si>
  <si>
    <t>FL250205</t>
  </si>
  <si>
    <t>Walter Williams</t>
  </si>
  <si>
    <t>FL250554</t>
  </si>
  <si>
    <t>Wayne Barnes</t>
  </si>
  <si>
    <t>FL250148</t>
  </si>
  <si>
    <t>Wayne Gonzales</t>
  </si>
  <si>
    <t>FL250744</t>
  </si>
  <si>
    <t>Wendy Boyer</t>
  </si>
  <si>
    <t>FL250895</t>
  </si>
  <si>
    <t>Wendy Mitchell</t>
  </si>
  <si>
    <t>FL250657</t>
  </si>
  <si>
    <t>Wendy Rice</t>
  </si>
  <si>
    <t>FL250531</t>
  </si>
  <si>
    <t>William Davis</t>
  </si>
  <si>
    <t>FL250275</t>
  </si>
  <si>
    <t>William Gaines</t>
  </si>
  <si>
    <t>FL250825</t>
  </si>
  <si>
    <t>William Harris</t>
  </si>
  <si>
    <t>FL250911</t>
  </si>
  <si>
    <t>William Hartman</t>
  </si>
  <si>
    <t>FL250255</t>
  </si>
  <si>
    <t>William Knapp</t>
  </si>
  <si>
    <t>FL250209</t>
  </si>
  <si>
    <t>William Moore Jr.</t>
  </si>
  <si>
    <t>FL250320</t>
  </si>
  <si>
    <t>William Nunez</t>
  </si>
  <si>
    <t>FL250172</t>
  </si>
  <si>
    <t>William Smith</t>
  </si>
  <si>
    <t>FL250598</t>
  </si>
  <si>
    <t>Willie Clark</t>
  </si>
  <si>
    <t>FL250016</t>
  </si>
  <si>
    <t>Wyatt Stout</t>
  </si>
  <si>
    <t>FL250882</t>
  </si>
  <si>
    <t>Yolanda Proctor</t>
  </si>
  <si>
    <t>FL250071</t>
  </si>
  <si>
    <t>Yvonne Berg</t>
  </si>
  <si>
    <t>FL250901</t>
  </si>
  <si>
    <t>Yvonne Robinson</t>
  </si>
  <si>
    <t>FL250196</t>
  </si>
  <si>
    <t>Zachary Burke</t>
  </si>
  <si>
    <t>FL250249</t>
  </si>
  <si>
    <t>Zachary Jackson</t>
  </si>
  <si>
    <t>FL250927</t>
  </si>
  <si>
    <t>Zachary Larsen</t>
  </si>
  <si>
    <t>FL250675</t>
  </si>
  <si>
    <t>Zachary Murphy</t>
  </si>
  <si>
    <t>FL250651</t>
  </si>
  <si>
    <t>Zachary Ochoa</t>
  </si>
  <si>
    <t>hourly_rate_usd.1</t>
  </si>
  <si>
    <t>hourly_rate_usd.2</t>
  </si>
  <si>
    <t>hourly_rate_usd_cleaned</t>
  </si>
  <si>
    <t>$</t>
  </si>
  <si>
    <t>75</t>
  </si>
  <si>
    <t>40</t>
  </si>
  <si>
    <t xml:space="preserve">USD </t>
  </si>
  <si>
    <t>30</t>
  </si>
  <si>
    <t>100</t>
  </si>
  <si>
    <t>50</t>
  </si>
  <si>
    <t>20</t>
  </si>
  <si>
    <t>is_active_cleaned</t>
  </si>
  <si>
    <t>client_satisfaction_cleaned</t>
  </si>
  <si>
    <t>satisfaction_edited</t>
  </si>
  <si>
    <t>Yes</t>
  </si>
  <si>
    <t>No</t>
  </si>
  <si>
    <t>sr. no.</t>
  </si>
  <si>
    <t>column name</t>
  </si>
  <si>
    <t>issue</t>
  </si>
  <si>
    <t>row count</t>
  </si>
  <si>
    <t>magnitude (%)</t>
  </si>
  <si>
    <t>solvable?</t>
  </si>
  <si>
    <t>resolution</t>
  </si>
  <si>
    <t>solved?</t>
  </si>
  <si>
    <t>Ms., Mrs., Dr., etc in some names</t>
  </si>
  <si>
    <t>Can change each manually due to less row count</t>
  </si>
  <si>
    <t>female and f, male and m treated as different</t>
  </si>
  <si>
    <t>Use an if statement to make it consistent: make them all Male/Female</t>
  </si>
  <si>
    <t>null values exist</t>
  </si>
  <si>
    <t>Can ignore them for now since less than 20%</t>
  </si>
  <si>
    <t>ignored</t>
  </si>
  <si>
    <t>$, USD making data inconsistent</t>
  </si>
  <si>
    <t>Use an if statement to make it consistent: make all numeric only type</t>
  </si>
  <si>
    <t>inconsistent data</t>
  </si>
  <si>
    <t>Use an if statement to make it consistent: make all Yes/No</t>
  </si>
  <si>
    <t>inconsistent formattinn of numbers: all need to be percentages</t>
  </si>
  <si>
    <t>Use an if statement: make all %</t>
  </si>
  <si>
    <t>experience_category</t>
  </si>
  <si>
    <t>age_category</t>
  </si>
  <si>
    <t>client_satisfaction_category</t>
  </si>
  <si>
    <t>value_for_money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</si>
</sst>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9" fontId="0" fillId="0" borderId="0" xfId="1" applyFont="1"/>
    <xf numFmtId="165" fontId="0" fillId="0" borderId="0" xfId="1" applyNumberFormat="1" applyFont="1"/>
    <xf numFmtId="0" fontId="3" fillId="2" borderId="0" xfId="0" applyFont="1" applyFill="1" applyAlignment="1">
      <alignment horizontal="center" vertic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0" formatCode="General"/>
    </dxf>
    <dxf>
      <numFmt numFmtId="0" formatCode="General"/>
    </dxf>
    <dxf>
      <numFmt numFmtId="164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0" formatCode="General"/>
    </dxf>
    <dxf>
      <numFmt numFmtId="0" formatCode="General"/>
    </dxf>
    <dxf>
      <numFmt numFmtId="164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7AE11F-09CF-4509-B035-9068315EE3C7}" autoFormatId="16" applyNumberFormats="0" applyBorderFormats="0" applyFontFormats="0" applyPatternFormats="0" applyAlignmentFormats="0" applyWidthHeightFormats="0">
  <queryTableRefresh nextId="26">
    <queryTableFields count="19">
      <queryTableField id="1" name="freelancer_ID" tableColumnId="1"/>
      <queryTableField id="2" name="name" tableColumnId="2"/>
      <queryTableField id="3" name="gender" tableColumnId="3"/>
      <queryTableField id="13" name="gender_cleaned" tableColumnId="1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16" name="hourly_rate_usd_cleaned" tableColumnId="16"/>
      <queryTableField id="14" name="hourly_rate_usd.1" tableColumnId="14"/>
      <queryTableField id="15" name="hourly_rate_usd.2" tableColumnId="15"/>
      <queryTableField id="10" name="rating" tableColumnId="10"/>
      <queryTableField id="11" name="is_active" tableColumnId="11"/>
      <queryTableField id="19" name="is_active_cleaned" tableColumnId="17"/>
      <queryTableField id="12" name="client_satisfaction" tableColumnId="12"/>
      <queryTableField id="20" name="client_satisfaction_cleaned" tableColumnId="18"/>
      <queryTableField id="21" name="satisfaction_edited" tableColumnId="19"/>
      <queryTableField id="25" name="value_for_money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81739D8-F4AE-48D5-A623-30C154922672}" autoFormatId="16" applyNumberFormats="0" applyBorderFormats="0" applyFontFormats="0" applyPatternFormats="0" applyAlignmentFormats="0" applyWidthHeightFormats="0">
  <queryTableRefresh nextId="28">
    <queryTableFields count="21">
      <queryTableField id="1" name="freelancer_ID" tableColumnId="1"/>
      <queryTableField id="2" name="name" tableColumnId="2"/>
      <queryTableField id="3" name="gender" tableColumnId="3"/>
      <queryTableField id="13" name="gender_cleaned" tableColumnId="13"/>
      <queryTableField id="4" name="age" tableColumnId="4"/>
      <queryTableField id="26" dataBound="0" tableColumnId="21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25" dataBound="0" tableColumnId="20"/>
      <queryTableField id="16" name="hourly_rate_usd_cleaned" tableColumnId="16"/>
      <queryTableField id="14" name="hourly_rate_usd.1" tableColumnId="14"/>
      <queryTableField id="15" name="hourly_rate_usd.2" tableColumnId="15"/>
      <queryTableField id="10" name="rating" tableColumnId="10"/>
      <queryTableField id="11" name="is_active" tableColumnId="11"/>
      <queryTableField id="19" name="is_active_cleaned" tableColumnId="17"/>
      <queryTableField id="12" name="client_satisfaction" tableColumnId="12"/>
      <queryTableField id="20" name="client_satisfaction_cleaned" tableColumnId="18"/>
      <queryTableField id="27" dataBound="0" tableColumnId="22"/>
      <queryTableField id="21" name="satisfaction_edite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D8E27-BA8F-408F-9421-C29B226AD5F5}" name="data" displayName="data" ref="A1:S1001" tableType="queryTable" totalsRowShown="0">
  <autoFilter ref="A1:S1001" xr:uid="{1E6D8E27-BA8F-408F-9421-C29B226AD5F5}"/>
  <tableColumns count="19">
    <tableColumn id="1" xr3:uid="{D533003E-EC39-4089-8A48-8C30EF0CB628}" uniqueName="1" name="freelancer_ID" queryTableFieldId="1" dataDxfId="22"/>
    <tableColumn id="2" xr3:uid="{FF36632B-6BC9-4496-ABEB-526EC1F8B136}" uniqueName="2" name="name" queryTableFieldId="2" dataDxfId="21"/>
    <tableColumn id="3" xr3:uid="{7BA5BF0D-677F-4356-8605-6F64EA802A17}" uniqueName="3" name="gender" queryTableFieldId="3" dataDxfId="20"/>
    <tableColumn id="13" xr3:uid="{1B295671-FD68-4E81-BBCC-324405484B73}" uniqueName="13" name="gender_cleaned" queryTableFieldId="13"/>
    <tableColumn id="4" xr3:uid="{3E0010E0-FD0A-4CA6-BA76-4821256BF519}" uniqueName="4" name="age" queryTableFieldId="4"/>
    <tableColumn id="5" xr3:uid="{FC723482-A301-4377-9818-840276709735}" uniqueName="5" name="country" queryTableFieldId="5" dataDxfId="19"/>
    <tableColumn id="6" xr3:uid="{5A53495A-B168-4962-959E-A522C6AFFDF0}" uniqueName="6" name="language" queryTableFieldId="6" dataDxfId="18"/>
    <tableColumn id="7" xr3:uid="{C64F47F1-9BE7-46E2-88FE-25A19987252A}" uniqueName="7" name="primary_skill" queryTableFieldId="7" dataDxfId="17"/>
    <tableColumn id="8" xr3:uid="{AB01F1C1-787C-4A1F-8BC0-2AA5DA148FE5}" uniqueName="8" name="years_of_experience" queryTableFieldId="8"/>
    <tableColumn id="16" xr3:uid="{9B6B8B10-57BD-4DFF-AC49-D1E1D0D29E83}" uniqueName="16" name="hourly_rate_usd_cleaned" queryTableFieldId="16" dataDxfId="16"/>
    <tableColumn id="14" xr3:uid="{E01404AC-BD2C-4C06-B359-0528204F96D2}" uniqueName="14" name="hourly_rate_usd.1" queryTableFieldId="14" dataDxfId="15"/>
    <tableColumn id="15" xr3:uid="{68EA71A9-5BB0-4233-AC60-AF4F3E5D8749}" uniqueName="15" name="hourly_rate_usd.2" queryTableFieldId="15" dataDxfId="14"/>
    <tableColumn id="10" xr3:uid="{1567EB6F-5732-4011-A386-A339DFFA4F51}" uniqueName="10" name="rating" queryTableFieldId="10"/>
    <tableColumn id="11" xr3:uid="{076F78A7-267A-4E33-8710-7A4A717D77A6}" uniqueName="11" name="is_active" queryTableFieldId="11"/>
    <tableColumn id="17" xr3:uid="{0BC3AC27-5E5E-42BB-8F13-5B222CB7A2D1}" uniqueName="17" name="is_active_cleaned" queryTableFieldId="19"/>
    <tableColumn id="12" xr3:uid="{E68B7ECE-C64E-4932-B1E3-E99ED1B53C49}" uniqueName="12" name="client_satisfaction" queryTableFieldId="12"/>
    <tableColumn id="18" xr3:uid="{5976B77A-DDD0-402B-B2F0-B21ADFEAD08B}" uniqueName="18" name="client_satisfaction_cleaned" queryTableFieldId="20" dataDxfId="13" dataCellStyle="Percent"/>
    <tableColumn id="19" xr3:uid="{A236F9AF-B684-49CC-8E9D-824637FE95F0}" uniqueName="19" name="satisfaction_edited" queryTableFieldId="21"/>
    <tableColumn id="9" xr3:uid="{492395FB-4C66-4340-B03D-CD77B13EA05C}" uniqueName="9" name="value_for_money" queryTableFieldId="25" dataDxfId="12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B8F8C6-B385-4E2F-A4B9-26FDD16503CD}" name="data3" displayName="data3" ref="A1:U1001" tableType="queryTable" totalsRowShown="0">
  <autoFilter ref="A1:U1001" xr:uid="{1E6D8E27-BA8F-408F-9421-C29B226AD5F5}"/>
  <tableColumns count="21">
    <tableColumn id="1" xr3:uid="{7DB91072-C918-4985-A194-9E555AE1ABF4}" uniqueName="1" name="freelancer_ID" queryTableFieldId="1" dataDxfId="11"/>
    <tableColumn id="2" xr3:uid="{8DD157ED-244A-4B0C-B334-A5127A32DA68}" uniqueName="2" name="name" queryTableFieldId="2" dataDxfId="10"/>
    <tableColumn id="3" xr3:uid="{232ED56F-3C2C-4EA0-828E-F70F522E58F6}" uniqueName="3" name="gender" queryTableFieldId="3" dataDxfId="9"/>
    <tableColumn id="13" xr3:uid="{13D95E93-18BA-4508-A7E2-D3577F820156}" uniqueName="13" name="gender_cleaned" queryTableFieldId="13"/>
    <tableColumn id="4" xr3:uid="{C5EEECDC-DFA1-4807-A03B-F9B7AD15E184}" uniqueName="4" name="age" queryTableFieldId="4"/>
    <tableColumn id="21" xr3:uid="{9D22D83B-D5D6-4586-90BE-C2FEE48E62D1}" uniqueName="21" name="age_category" queryTableFieldId="26" dataDxfId="8">
      <calculatedColumnFormula>IF(OR($E2="",NOT(ISNUMBER($E2))),"",
 IF($E2&lt;=20,"11 to 20",
 IF($E2&lt;=30,"21 to 30",
 IF($E2&lt;=40,"31 to 40",
 IF($E2&lt;=50,"41 to 50",
 IF($E2&lt;=60,"51 to 60"))))))</calculatedColumnFormula>
    </tableColumn>
    <tableColumn id="5" xr3:uid="{1F908640-E796-4D26-B9C7-92317447E5BD}" uniqueName="5" name="country" queryTableFieldId="5" dataDxfId="7"/>
    <tableColumn id="6" xr3:uid="{9781CDD4-3EFD-43B5-A6A4-460DD1397725}" uniqueName="6" name="language" queryTableFieldId="6" dataDxfId="6"/>
    <tableColumn id="7" xr3:uid="{EE50E668-4439-4FF5-B876-FA64DBB2BF20}" uniqueName="7" name="primary_skill" queryTableFieldId="7" dataDxfId="5"/>
    <tableColumn id="8" xr3:uid="{3C8E18F9-1DDD-4633-A8FD-922CF2900E05}" uniqueName="8" name="years_of_experience" queryTableFieldId="8"/>
    <tableColumn id="20" xr3:uid="{11F1CACF-1C8C-4BF5-879B-57EAB96BB7D7}" uniqueName="20" name="experience_category" queryTableFieldId="25" dataDxfId="4">
      <calculatedColumnFormula>IF(OR($J2="",NOT(ISNUMBER($J2))),"",
 IF($J2&lt;=10,"0 to 10",
 IF($J2&lt;=20,"11 to 20",
 IF($J2&lt;=30,"21 to 30",
 IF($J2&lt;=40,"31 to 40",
 "40+")))))</calculatedColumnFormula>
    </tableColumn>
    <tableColumn id="16" xr3:uid="{74A03962-9426-4F4F-8F84-AB2F2515C95B}" uniqueName="16" name="hourly_rate_usd_cleaned" queryTableFieldId="16" dataDxfId="3"/>
    <tableColumn id="14" xr3:uid="{3C41C725-3465-4601-B634-47A57EE2A863}" uniqueName="14" name="hourly_rate_usd.1" queryTableFieldId="14" dataDxfId="2"/>
    <tableColumn id="15" xr3:uid="{D5121C6E-2673-4ADE-BB2F-8BB048A5DDA9}" uniqueName="15" name="hourly_rate_usd.2" queryTableFieldId="15" dataDxfId="1"/>
    <tableColumn id="10" xr3:uid="{25285289-7BBC-4A30-9663-17B572AADDFF}" uniqueName="10" name="rating" queryTableFieldId="10"/>
    <tableColumn id="11" xr3:uid="{9CF1D804-4B66-4ED4-8444-A9697F37AFC7}" uniqueName="11" name="is_active" queryTableFieldId="11"/>
    <tableColumn id="17" xr3:uid="{FDDEA1BD-CA34-4A77-A726-5FACBD45206F}" uniqueName="17" name="is_active_cleaned" queryTableFieldId="19"/>
    <tableColumn id="12" xr3:uid="{ACE9B2B6-C1E8-40CC-821A-8258A8460FA2}" uniqueName="12" name="client_satisfaction" queryTableFieldId="12"/>
    <tableColumn id="18" xr3:uid="{18289F4D-2F72-4233-9E3C-E95F631C246C}" uniqueName="18" name="client_satisfaction_cleaned" queryTableFieldId="20" dataCellStyle="Percent"/>
    <tableColumn id="22" xr3:uid="{C974DC4B-2123-41D5-8163-BB85EF0AE0DD}" uniqueName="22" name="client_satisfaction_category" queryTableFieldId="27" dataDxfId="0" dataCellStyle="Percent">
      <calculatedColumnFormula>IF(OR($S2="",NOT(ISNUMBER($S2))),"",
 IF($S2&lt;=0.6,"50% to 60%",
 IF($S2&lt;=0.7,"61% to 70 %",
 IF($S2&lt;=0.8,"71% to 80%",
 IF($S2&lt;=0.9,"81% to 90%",
 IF($S2&lt;=1,"91% to 100%"))))))</calculatedColumnFormula>
    </tableColumn>
    <tableColumn id="19" xr3:uid="{272634FC-F2E5-4684-8AAE-A65B2194DED4}" uniqueName="19" name="satisfaction_edited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B2CE-A0B6-4FE5-9FF2-01D64D5B91F5}">
  <dimension ref="A1:S1001"/>
  <sheetViews>
    <sheetView topLeftCell="E1" workbookViewId="0">
      <selection activeCell="U12" sqref="U12"/>
    </sheetView>
  </sheetViews>
  <sheetFormatPr defaultRowHeight="14.4" x14ac:dyDescent="0.3"/>
  <cols>
    <col min="1" max="1" width="14.44140625" bestFit="1" customWidth="1"/>
    <col min="2" max="2" width="19.5546875" bestFit="1" customWidth="1"/>
    <col min="3" max="3" width="9.109375" hidden="1" customWidth="1"/>
    <col min="4" max="4" width="16.77734375" bestFit="1" customWidth="1"/>
    <col min="5" max="5" width="6.21875" bestFit="1" customWidth="1"/>
    <col min="6" max="6" width="14" bestFit="1" customWidth="1"/>
    <col min="7" max="7" width="10.88671875" bestFit="1" customWidth="1"/>
    <col min="8" max="8" width="21.44140625" bestFit="1" customWidth="1"/>
    <col min="9" max="9" width="20.77734375" bestFit="1" customWidth="1"/>
    <col min="10" max="10" width="26" style="1" bestFit="1" customWidth="1"/>
    <col min="11" max="12" width="18.6640625" hidden="1" customWidth="1"/>
    <col min="13" max="13" width="8.109375" bestFit="1" customWidth="1"/>
    <col min="14" max="14" width="10.44140625" hidden="1" customWidth="1"/>
    <col min="15" max="15" width="18.109375" bestFit="1" customWidth="1"/>
    <col min="16" max="16" width="18.44140625" hidden="1" customWidth="1"/>
    <col min="17" max="17" width="26.21875" style="2" bestFit="1" customWidth="1"/>
    <col min="18" max="18" width="19.21875" hidden="1" customWidth="1"/>
    <col min="19" max="19" width="18.21875" style="5" bestFit="1" customWidth="1"/>
    <col min="20" max="20" width="16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2064</v>
      </c>
      <c r="K1" t="s">
        <v>2062</v>
      </c>
      <c r="L1" t="s">
        <v>2063</v>
      </c>
      <c r="M1" t="s">
        <v>9</v>
      </c>
      <c r="N1" t="s">
        <v>10</v>
      </c>
      <c r="O1" t="s">
        <v>2073</v>
      </c>
      <c r="P1" t="s">
        <v>11</v>
      </c>
      <c r="Q1" s="2" t="s">
        <v>2074</v>
      </c>
      <c r="R1" t="s">
        <v>2075</v>
      </c>
      <c r="S1" s="5" t="s">
        <v>2102</v>
      </c>
    </row>
    <row r="2" spans="1:19" x14ac:dyDescent="0.3">
      <c r="A2" t="s">
        <v>13</v>
      </c>
      <c r="B2" t="s">
        <v>14</v>
      </c>
      <c r="C2" t="s">
        <v>15</v>
      </c>
      <c r="D2" t="s">
        <v>20</v>
      </c>
      <c r="E2">
        <v>26</v>
      </c>
      <c r="F2" t="s">
        <v>16</v>
      </c>
      <c r="G2" t="s">
        <v>17</v>
      </c>
      <c r="H2" t="s">
        <v>18</v>
      </c>
      <c r="J2" s="1">
        <v>75</v>
      </c>
      <c r="K2" t="s">
        <v>2065</v>
      </c>
      <c r="L2" t="s">
        <v>2066</v>
      </c>
      <c r="M2">
        <v>2.1</v>
      </c>
      <c r="N2" t="s">
        <v>19</v>
      </c>
      <c r="O2" t="s">
        <v>2076</v>
      </c>
    </row>
    <row r="3" spans="1:19" x14ac:dyDescent="0.3">
      <c r="A3" t="s">
        <v>21</v>
      </c>
      <c r="B3" t="s">
        <v>22</v>
      </c>
      <c r="C3" t="s">
        <v>15</v>
      </c>
      <c r="D3" t="s">
        <v>20</v>
      </c>
      <c r="E3">
        <v>52</v>
      </c>
      <c r="F3" t="s">
        <v>23</v>
      </c>
      <c r="G3" t="s">
        <v>24</v>
      </c>
      <c r="H3" t="s">
        <v>18</v>
      </c>
      <c r="I3">
        <v>7</v>
      </c>
      <c r="J3" s="1">
        <v>40</v>
      </c>
      <c r="K3" t="s">
        <v>2067</v>
      </c>
      <c r="M3">
        <v>2.2000000000000002</v>
      </c>
      <c r="P3">
        <v>0.96</v>
      </c>
      <c r="Q3" s="2">
        <v>0.96</v>
      </c>
      <c r="S3" s="5">
        <v>2.4E-2</v>
      </c>
    </row>
    <row r="4" spans="1:19" x14ac:dyDescent="0.3">
      <c r="A4" t="s">
        <v>25</v>
      </c>
      <c r="B4" t="s">
        <v>26</v>
      </c>
      <c r="C4" t="s">
        <v>15</v>
      </c>
      <c r="D4" t="s">
        <v>20</v>
      </c>
      <c r="E4">
        <v>50</v>
      </c>
      <c r="F4" t="s">
        <v>27</v>
      </c>
      <c r="G4" t="s">
        <v>28</v>
      </c>
      <c r="H4" t="s">
        <v>18</v>
      </c>
      <c r="I4">
        <v>20</v>
      </c>
      <c r="J4" s="1">
        <v>30</v>
      </c>
      <c r="K4" t="s">
        <v>2068</v>
      </c>
      <c r="L4" t="s">
        <v>2069</v>
      </c>
      <c r="M4">
        <v>0</v>
      </c>
      <c r="N4">
        <v>0</v>
      </c>
      <c r="O4" t="s">
        <v>2077</v>
      </c>
    </row>
    <row r="5" spans="1:19" x14ac:dyDescent="0.3">
      <c r="A5" t="s">
        <v>29</v>
      </c>
      <c r="B5" t="s">
        <v>30</v>
      </c>
      <c r="C5" t="s">
        <v>15</v>
      </c>
      <c r="D5" t="s">
        <v>20</v>
      </c>
      <c r="E5">
        <v>49</v>
      </c>
      <c r="F5" t="s">
        <v>31</v>
      </c>
      <c r="G5" t="s">
        <v>32</v>
      </c>
      <c r="H5" t="s">
        <v>33</v>
      </c>
      <c r="I5">
        <v>24</v>
      </c>
      <c r="J5" s="1">
        <v>100</v>
      </c>
      <c r="K5" t="s">
        <v>2070</v>
      </c>
      <c r="M5">
        <v>4.7</v>
      </c>
      <c r="N5">
        <v>0</v>
      </c>
      <c r="O5" t="s">
        <v>2077</v>
      </c>
      <c r="P5">
        <v>0.6</v>
      </c>
      <c r="Q5" s="2">
        <v>0.6</v>
      </c>
      <c r="S5" s="5">
        <v>6.0000000000000001E-3</v>
      </c>
    </row>
    <row r="6" spans="1:19" x14ac:dyDescent="0.3">
      <c r="A6" t="s">
        <v>34</v>
      </c>
      <c r="B6" t="s">
        <v>35</v>
      </c>
      <c r="C6" t="s">
        <v>36</v>
      </c>
      <c r="D6" t="s">
        <v>20</v>
      </c>
      <c r="E6">
        <v>48</v>
      </c>
      <c r="F6" t="s">
        <v>37</v>
      </c>
      <c r="G6" t="s">
        <v>38</v>
      </c>
      <c r="H6" t="s">
        <v>39</v>
      </c>
      <c r="I6">
        <v>19</v>
      </c>
      <c r="J6" s="1">
        <v>40</v>
      </c>
      <c r="K6" t="s">
        <v>2067</v>
      </c>
      <c r="M6">
        <v>1.5</v>
      </c>
      <c r="N6">
        <v>0</v>
      </c>
      <c r="O6" t="s">
        <v>2077</v>
      </c>
      <c r="P6">
        <v>0.87</v>
      </c>
      <c r="Q6" s="2">
        <v>0.87</v>
      </c>
      <c r="S6" s="5">
        <v>2.1749999999999999E-2</v>
      </c>
    </row>
    <row r="7" spans="1:19" x14ac:dyDescent="0.3">
      <c r="A7" t="s">
        <v>40</v>
      </c>
      <c r="B7" t="s">
        <v>41</v>
      </c>
      <c r="C7" t="s">
        <v>15</v>
      </c>
      <c r="D7" t="s">
        <v>20</v>
      </c>
      <c r="E7">
        <v>51</v>
      </c>
      <c r="F7" t="s">
        <v>42</v>
      </c>
      <c r="G7" t="s">
        <v>43</v>
      </c>
      <c r="H7" t="s">
        <v>39</v>
      </c>
      <c r="I7">
        <v>32</v>
      </c>
      <c r="J7" s="1">
        <v>50</v>
      </c>
      <c r="K7" t="s">
        <v>2065</v>
      </c>
      <c r="L7" t="s">
        <v>2071</v>
      </c>
      <c r="M7">
        <v>3.2</v>
      </c>
      <c r="N7">
        <v>0</v>
      </c>
      <c r="O7" t="s">
        <v>2077</v>
      </c>
      <c r="P7">
        <v>88</v>
      </c>
      <c r="Q7" s="2">
        <v>0.88</v>
      </c>
      <c r="R7">
        <v>0.88</v>
      </c>
      <c r="S7" s="5">
        <v>1.7600000000000001E-2</v>
      </c>
    </row>
    <row r="8" spans="1:19" x14ac:dyDescent="0.3">
      <c r="A8" t="s">
        <v>44</v>
      </c>
      <c r="B8" t="s">
        <v>45</v>
      </c>
      <c r="C8" t="s">
        <v>36</v>
      </c>
      <c r="D8" t="s">
        <v>20</v>
      </c>
      <c r="E8">
        <v>41</v>
      </c>
      <c r="F8" t="s">
        <v>46</v>
      </c>
      <c r="G8" t="s">
        <v>17</v>
      </c>
      <c r="H8" t="s">
        <v>47</v>
      </c>
      <c r="I8">
        <v>11</v>
      </c>
      <c r="J8" s="1">
        <v>40</v>
      </c>
      <c r="K8" t="s">
        <v>2065</v>
      </c>
      <c r="L8" t="s">
        <v>2067</v>
      </c>
      <c r="M8">
        <v>2.4</v>
      </c>
      <c r="N8" t="b">
        <v>0</v>
      </c>
      <c r="O8" t="s">
        <v>2077</v>
      </c>
    </row>
    <row r="9" spans="1:19" x14ac:dyDescent="0.3">
      <c r="A9" t="s">
        <v>48</v>
      </c>
      <c r="B9" t="s">
        <v>49</v>
      </c>
      <c r="C9" t="s">
        <v>15</v>
      </c>
      <c r="D9" t="s">
        <v>20</v>
      </c>
      <c r="E9">
        <v>43</v>
      </c>
      <c r="F9" t="s">
        <v>50</v>
      </c>
      <c r="G9" t="s">
        <v>51</v>
      </c>
      <c r="H9" t="s">
        <v>52</v>
      </c>
      <c r="I9">
        <v>6</v>
      </c>
      <c r="J9" s="1">
        <v>50</v>
      </c>
      <c r="K9" t="s">
        <v>2071</v>
      </c>
      <c r="N9" t="s">
        <v>53</v>
      </c>
      <c r="O9" t="s">
        <v>2077</v>
      </c>
      <c r="P9">
        <v>0.77</v>
      </c>
      <c r="Q9" s="2">
        <v>0.77</v>
      </c>
      <c r="S9" s="5">
        <v>1.54E-2</v>
      </c>
    </row>
    <row r="10" spans="1:19" x14ac:dyDescent="0.3">
      <c r="A10" t="s">
        <v>54</v>
      </c>
      <c r="B10" t="s">
        <v>55</v>
      </c>
      <c r="C10" t="s">
        <v>36</v>
      </c>
      <c r="D10" t="s">
        <v>20</v>
      </c>
      <c r="E10">
        <v>53</v>
      </c>
      <c r="F10" t="s">
        <v>31</v>
      </c>
      <c r="G10" t="s">
        <v>32</v>
      </c>
      <c r="H10" t="s">
        <v>47</v>
      </c>
      <c r="I10">
        <v>21</v>
      </c>
      <c r="J10" s="1">
        <v>100</v>
      </c>
      <c r="K10" t="s">
        <v>2070</v>
      </c>
      <c r="M10">
        <v>3.4</v>
      </c>
      <c r="N10">
        <v>0</v>
      </c>
      <c r="O10" t="s">
        <v>2077</v>
      </c>
      <c r="P10">
        <v>0.62</v>
      </c>
      <c r="Q10" s="2">
        <v>0.62</v>
      </c>
      <c r="S10" s="5">
        <v>6.1999999999999998E-3</v>
      </c>
    </row>
    <row r="11" spans="1:19" x14ac:dyDescent="0.3">
      <c r="A11" t="s">
        <v>56</v>
      </c>
      <c r="B11" t="s">
        <v>57</v>
      </c>
      <c r="C11" t="s">
        <v>15</v>
      </c>
      <c r="D11" t="s">
        <v>20</v>
      </c>
      <c r="E11">
        <v>57</v>
      </c>
      <c r="F11" t="s">
        <v>58</v>
      </c>
      <c r="G11" t="s">
        <v>59</v>
      </c>
      <c r="H11" t="s">
        <v>60</v>
      </c>
      <c r="I11">
        <v>29</v>
      </c>
      <c r="J11" s="1">
        <v>75</v>
      </c>
      <c r="K11" t="s">
        <v>2066</v>
      </c>
      <c r="M11">
        <v>4.0999999999999996</v>
      </c>
      <c r="N11" t="s">
        <v>53</v>
      </c>
      <c r="O11" t="s">
        <v>2077</v>
      </c>
      <c r="P11">
        <v>0.9</v>
      </c>
      <c r="Q11" s="2">
        <v>0.9</v>
      </c>
      <c r="S11" s="5">
        <v>1.2E-2</v>
      </c>
    </row>
    <row r="12" spans="1:19" x14ac:dyDescent="0.3">
      <c r="A12" t="s">
        <v>61</v>
      </c>
      <c r="B12" t="s">
        <v>62</v>
      </c>
      <c r="C12" t="s">
        <v>36</v>
      </c>
      <c r="D12" t="s">
        <v>20</v>
      </c>
      <c r="E12">
        <v>22</v>
      </c>
      <c r="F12" t="s">
        <v>42</v>
      </c>
      <c r="G12" t="s">
        <v>43</v>
      </c>
      <c r="H12" t="s">
        <v>63</v>
      </c>
      <c r="I12">
        <v>4</v>
      </c>
      <c r="J12" s="1">
        <v>40</v>
      </c>
      <c r="K12" t="s">
        <v>2065</v>
      </c>
      <c r="L12" t="s">
        <v>2067</v>
      </c>
      <c r="M12">
        <v>3.8</v>
      </c>
      <c r="N12" t="b">
        <v>1</v>
      </c>
      <c r="O12" t="s">
        <v>2076</v>
      </c>
      <c r="P12">
        <v>1</v>
      </c>
      <c r="Q12" s="2">
        <v>1</v>
      </c>
      <c r="S12" s="5">
        <v>2.5000000000000001E-2</v>
      </c>
    </row>
    <row r="13" spans="1:19" x14ac:dyDescent="0.3">
      <c r="A13" t="s">
        <v>64</v>
      </c>
      <c r="B13" t="s">
        <v>65</v>
      </c>
      <c r="C13" t="s">
        <v>15</v>
      </c>
      <c r="D13" t="s">
        <v>20</v>
      </c>
      <c r="E13">
        <v>56</v>
      </c>
      <c r="F13" t="s">
        <v>37</v>
      </c>
      <c r="G13" t="s">
        <v>38</v>
      </c>
      <c r="H13" t="s">
        <v>66</v>
      </c>
      <c r="I13">
        <v>13</v>
      </c>
      <c r="J13" s="1">
        <v>100</v>
      </c>
      <c r="K13" t="s">
        <v>2070</v>
      </c>
      <c r="M13">
        <v>0</v>
      </c>
      <c r="N13" t="s">
        <v>67</v>
      </c>
      <c r="O13" t="s">
        <v>2077</v>
      </c>
      <c r="P13">
        <v>0.68</v>
      </c>
      <c r="Q13" s="2">
        <v>0.68</v>
      </c>
      <c r="S13" s="5">
        <v>6.7999999999999996E-3</v>
      </c>
    </row>
    <row r="14" spans="1:19" x14ac:dyDescent="0.3">
      <c r="A14" t="s">
        <v>68</v>
      </c>
      <c r="B14" t="s">
        <v>69</v>
      </c>
      <c r="C14" t="s">
        <v>36</v>
      </c>
      <c r="D14" t="s">
        <v>20</v>
      </c>
      <c r="E14">
        <v>52</v>
      </c>
      <c r="F14" t="s">
        <v>42</v>
      </c>
      <c r="G14" t="s">
        <v>43</v>
      </c>
      <c r="H14" t="s">
        <v>60</v>
      </c>
      <c r="I14">
        <v>20</v>
      </c>
      <c r="J14" s="1">
        <v>50</v>
      </c>
      <c r="K14" t="s">
        <v>2071</v>
      </c>
      <c r="N14" t="b">
        <v>0</v>
      </c>
      <c r="O14" t="s">
        <v>2077</v>
      </c>
      <c r="P14">
        <v>0.79</v>
      </c>
      <c r="Q14" s="2">
        <v>0.79</v>
      </c>
      <c r="S14" s="5">
        <v>1.5800000000000002E-2</v>
      </c>
    </row>
    <row r="15" spans="1:19" x14ac:dyDescent="0.3">
      <c r="A15" t="s">
        <v>70</v>
      </c>
      <c r="B15" t="s">
        <v>71</v>
      </c>
      <c r="C15" t="s">
        <v>36</v>
      </c>
      <c r="D15" t="s">
        <v>20</v>
      </c>
      <c r="E15">
        <v>44</v>
      </c>
      <c r="F15" t="s">
        <v>42</v>
      </c>
      <c r="G15" t="s">
        <v>43</v>
      </c>
      <c r="H15" t="s">
        <v>47</v>
      </c>
      <c r="I15">
        <v>1</v>
      </c>
      <c r="J15" s="1">
        <v>75</v>
      </c>
      <c r="K15" t="s">
        <v>2066</v>
      </c>
      <c r="M15">
        <v>4.3</v>
      </c>
      <c r="N15">
        <v>1</v>
      </c>
      <c r="O15" t="s">
        <v>2076</v>
      </c>
    </row>
    <row r="16" spans="1:19" x14ac:dyDescent="0.3">
      <c r="A16" t="s">
        <v>72</v>
      </c>
      <c r="B16" t="s">
        <v>73</v>
      </c>
      <c r="C16" t="s">
        <v>36</v>
      </c>
      <c r="D16" t="s">
        <v>20</v>
      </c>
      <c r="E16">
        <v>20</v>
      </c>
      <c r="F16" t="s">
        <v>42</v>
      </c>
      <c r="G16" t="s">
        <v>43</v>
      </c>
      <c r="H16" t="s">
        <v>52</v>
      </c>
      <c r="I16">
        <v>0</v>
      </c>
      <c r="J16" s="1">
        <v>30</v>
      </c>
      <c r="K16" t="s">
        <v>2069</v>
      </c>
      <c r="M16">
        <v>3.8</v>
      </c>
      <c r="P16">
        <v>0.93</v>
      </c>
      <c r="Q16" s="2">
        <v>0.93</v>
      </c>
      <c r="S16" s="5">
        <v>3.1E-2</v>
      </c>
    </row>
    <row r="17" spans="1:19" x14ac:dyDescent="0.3">
      <c r="A17" t="s">
        <v>74</v>
      </c>
      <c r="B17" t="s">
        <v>75</v>
      </c>
      <c r="C17" t="s">
        <v>76</v>
      </c>
      <c r="D17" t="s">
        <v>80</v>
      </c>
      <c r="E17">
        <v>56</v>
      </c>
      <c r="F17" t="s">
        <v>77</v>
      </c>
      <c r="G17" t="s">
        <v>78</v>
      </c>
      <c r="H17" t="s">
        <v>79</v>
      </c>
      <c r="I17">
        <v>32</v>
      </c>
      <c r="J17" s="1">
        <v>40</v>
      </c>
      <c r="K17" t="s">
        <v>2068</v>
      </c>
      <c r="L17" t="s">
        <v>2067</v>
      </c>
      <c r="M17">
        <v>0</v>
      </c>
      <c r="N17">
        <v>1</v>
      </c>
      <c r="O17" t="s">
        <v>2076</v>
      </c>
      <c r="P17">
        <v>0.86</v>
      </c>
      <c r="Q17" s="2">
        <v>0.86</v>
      </c>
      <c r="S17" s="5">
        <v>2.1499999999999998E-2</v>
      </c>
    </row>
    <row r="18" spans="1:19" x14ac:dyDescent="0.3">
      <c r="A18" t="s">
        <v>81</v>
      </c>
      <c r="B18" t="s">
        <v>82</v>
      </c>
      <c r="C18" t="s">
        <v>15</v>
      </c>
      <c r="D18" t="s">
        <v>20</v>
      </c>
      <c r="E18">
        <v>47</v>
      </c>
      <c r="F18" t="s">
        <v>83</v>
      </c>
      <c r="G18" t="s">
        <v>84</v>
      </c>
      <c r="H18" t="s">
        <v>47</v>
      </c>
      <c r="I18">
        <v>13</v>
      </c>
      <c r="J18" s="1">
        <v>40</v>
      </c>
      <c r="K18" t="s">
        <v>2067</v>
      </c>
      <c r="M18">
        <v>3.4</v>
      </c>
      <c r="P18">
        <v>0.67</v>
      </c>
      <c r="Q18" s="2">
        <v>0.67</v>
      </c>
      <c r="S18" s="5">
        <v>1.6750000000000001E-2</v>
      </c>
    </row>
    <row r="19" spans="1:19" x14ac:dyDescent="0.3">
      <c r="A19" t="s">
        <v>85</v>
      </c>
      <c r="B19" t="s">
        <v>86</v>
      </c>
      <c r="C19" t="s">
        <v>15</v>
      </c>
      <c r="D19" t="s">
        <v>20</v>
      </c>
      <c r="E19">
        <v>21</v>
      </c>
      <c r="F19" t="s">
        <v>87</v>
      </c>
      <c r="G19" t="s">
        <v>88</v>
      </c>
      <c r="H19" t="s">
        <v>79</v>
      </c>
      <c r="I19">
        <v>2</v>
      </c>
      <c r="J19" s="1">
        <v>100</v>
      </c>
      <c r="K19" t="s">
        <v>2070</v>
      </c>
      <c r="M19">
        <v>3.6</v>
      </c>
      <c r="N19" t="b">
        <v>0</v>
      </c>
      <c r="O19" t="s">
        <v>2077</v>
      </c>
      <c r="P19">
        <v>85</v>
      </c>
      <c r="Q19" s="2">
        <v>0.85</v>
      </c>
      <c r="R19">
        <v>0.85</v>
      </c>
      <c r="S19" s="5">
        <v>8.5000000000000006E-3</v>
      </c>
    </row>
    <row r="20" spans="1:19" x14ac:dyDescent="0.3">
      <c r="A20" t="s">
        <v>89</v>
      </c>
      <c r="B20" t="s">
        <v>90</v>
      </c>
      <c r="C20" t="s">
        <v>15</v>
      </c>
      <c r="D20" t="s">
        <v>20</v>
      </c>
      <c r="E20">
        <v>21</v>
      </c>
      <c r="F20" t="s">
        <v>91</v>
      </c>
      <c r="G20" t="s">
        <v>59</v>
      </c>
      <c r="H20" t="s">
        <v>79</v>
      </c>
      <c r="I20">
        <v>0</v>
      </c>
      <c r="J20" s="1">
        <v>100</v>
      </c>
      <c r="K20" t="s">
        <v>2068</v>
      </c>
      <c r="L20" t="s">
        <v>2070</v>
      </c>
      <c r="M20">
        <v>3</v>
      </c>
      <c r="N20" t="s">
        <v>53</v>
      </c>
      <c r="O20" t="s">
        <v>2077</v>
      </c>
      <c r="P20">
        <v>0.64</v>
      </c>
      <c r="Q20" s="2">
        <v>0.64</v>
      </c>
      <c r="S20" s="5">
        <v>6.4000000000000003E-3</v>
      </c>
    </row>
    <row r="21" spans="1:19" x14ac:dyDescent="0.3">
      <c r="A21" t="s">
        <v>92</v>
      </c>
      <c r="B21" t="s">
        <v>93</v>
      </c>
      <c r="C21" t="s">
        <v>76</v>
      </c>
      <c r="D21" t="s">
        <v>80</v>
      </c>
      <c r="E21">
        <v>40</v>
      </c>
      <c r="F21" t="s">
        <v>23</v>
      </c>
      <c r="G21" t="s">
        <v>24</v>
      </c>
      <c r="H21" t="s">
        <v>18</v>
      </c>
      <c r="I21">
        <v>14</v>
      </c>
      <c r="J21" s="1">
        <v>75</v>
      </c>
      <c r="K21" t="s">
        <v>2066</v>
      </c>
      <c r="M21">
        <v>0</v>
      </c>
      <c r="N21">
        <v>1</v>
      </c>
      <c r="O21" t="s">
        <v>2076</v>
      </c>
      <c r="P21">
        <v>0.79</v>
      </c>
      <c r="Q21" s="2">
        <v>0.79</v>
      </c>
      <c r="S21" s="5">
        <v>1.0533333333333301E-2</v>
      </c>
    </row>
    <row r="22" spans="1:19" x14ac:dyDescent="0.3">
      <c r="A22" t="s">
        <v>94</v>
      </c>
      <c r="B22" t="s">
        <v>95</v>
      </c>
      <c r="C22" t="s">
        <v>76</v>
      </c>
      <c r="D22" t="s">
        <v>80</v>
      </c>
      <c r="E22">
        <v>36</v>
      </c>
      <c r="F22" t="s">
        <v>50</v>
      </c>
      <c r="G22" t="s">
        <v>51</v>
      </c>
      <c r="H22" t="s">
        <v>79</v>
      </c>
      <c r="I22">
        <v>11</v>
      </c>
      <c r="M22">
        <v>1.8</v>
      </c>
      <c r="N22" t="s">
        <v>96</v>
      </c>
      <c r="O22" t="s">
        <v>2076</v>
      </c>
      <c r="P22">
        <v>0.86</v>
      </c>
      <c r="Q22" s="2">
        <v>0.86</v>
      </c>
    </row>
    <row r="23" spans="1:19" x14ac:dyDescent="0.3">
      <c r="A23" t="s">
        <v>97</v>
      </c>
      <c r="B23" t="s">
        <v>98</v>
      </c>
      <c r="C23" t="s">
        <v>76</v>
      </c>
      <c r="D23" t="s">
        <v>80</v>
      </c>
      <c r="E23">
        <v>57</v>
      </c>
      <c r="F23" t="s">
        <v>58</v>
      </c>
      <c r="G23" t="s">
        <v>59</v>
      </c>
      <c r="H23" t="s">
        <v>60</v>
      </c>
      <c r="I23">
        <v>18</v>
      </c>
      <c r="M23">
        <v>2</v>
      </c>
      <c r="N23">
        <v>0</v>
      </c>
      <c r="O23" t="s">
        <v>2077</v>
      </c>
      <c r="P23">
        <v>0.86</v>
      </c>
      <c r="Q23" s="2">
        <v>0.86</v>
      </c>
    </row>
    <row r="24" spans="1:19" x14ac:dyDescent="0.3">
      <c r="A24" t="s">
        <v>99</v>
      </c>
      <c r="B24" t="s">
        <v>100</v>
      </c>
      <c r="C24" t="s">
        <v>76</v>
      </c>
      <c r="D24" t="s">
        <v>80</v>
      </c>
      <c r="E24">
        <v>46</v>
      </c>
      <c r="F24" t="s">
        <v>101</v>
      </c>
      <c r="G24" t="s">
        <v>59</v>
      </c>
      <c r="H24" t="s">
        <v>60</v>
      </c>
      <c r="I24">
        <v>25</v>
      </c>
      <c r="J24" s="1">
        <v>100</v>
      </c>
      <c r="K24" t="s">
        <v>2065</v>
      </c>
      <c r="L24" t="s">
        <v>2070</v>
      </c>
      <c r="M24">
        <v>1.3</v>
      </c>
      <c r="N24" t="s">
        <v>67</v>
      </c>
      <c r="O24" t="s">
        <v>2077</v>
      </c>
      <c r="P24">
        <v>0.8</v>
      </c>
      <c r="Q24" s="2">
        <v>0.8</v>
      </c>
      <c r="S24" s="5">
        <v>8.0000000000000002E-3</v>
      </c>
    </row>
    <row r="25" spans="1:19" x14ac:dyDescent="0.3">
      <c r="A25" t="s">
        <v>102</v>
      </c>
      <c r="B25" t="s">
        <v>103</v>
      </c>
      <c r="C25" t="s">
        <v>36</v>
      </c>
      <c r="D25" t="s">
        <v>20</v>
      </c>
      <c r="F25" t="s">
        <v>104</v>
      </c>
      <c r="G25" t="s">
        <v>105</v>
      </c>
      <c r="H25" t="s">
        <v>66</v>
      </c>
      <c r="I25">
        <v>0</v>
      </c>
      <c r="J25" s="1">
        <v>100</v>
      </c>
      <c r="K25" t="s">
        <v>2065</v>
      </c>
      <c r="L25" t="s">
        <v>2070</v>
      </c>
      <c r="M25">
        <v>5</v>
      </c>
      <c r="N25" t="s">
        <v>53</v>
      </c>
      <c r="O25" t="s">
        <v>2077</v>
      </c>
    </row>
    <row r="26" spans="1:19" x14ac:dyDescent="0.3">
      <c r="A26" t="s">
        <v>106</v>
      </c>
      <c r="B26" t="s">
        <v>107</v>
      </c>
      <c r="C26" t="s">
        <v>15</v>
      </c>
      <c r="D26" t="s">
        <v>20</v>
      </c>
      <c r="E26">
        <v>45</v>
      </c>
      <c r="F26" t="s">
        <v>42</v>
      </c>
      <c r="G26" t="s">
        <v>43</v>
      </c>
      <c r="H26" t="s">
        <v>108</v>
      </c>
      <c r="J26" s="1">
        <v>20</v>
      </c>
      <c r="K26" t="s">
        <v>2068</v>
      </c>
      <c r="L26" t="s">
        <v>2072</v>
      </c>
      <c r="M26">
        <v>3.3</v>
      </c>
      <c r="N26" t="b">
        <v>1</v>
      </c>
      <c r="O26" t="s">
        <v>2076</v>
      </c>
      <c r="P26">
        <v>0.93</v>
      </c>
      <c r="Q26" s="2">
        <v>0.93</v>
      </c>
      <c r="S26" s="5">
        <v>4.65E-2</v>
      </c>
    </row>
    <row r="27" spans="1:19" x14ac:dyDescent="0.3">
      <c r="A27" t="s">
        <v>109</v>
      </c>
      <c r="B27" t="s">
        <v>110</v>
      </c>
      <c r="C27" t="s">
        <v>111</v>
      </c>
      <c r="D27" t="s">
        <v>80</v>
      </c>
      <c r="E27">
        <v>26</v>
      </c>
      <c r="F27" t="s">
        <v>87</v>
      </c>
      <c r="G27" t="s">
        <v>88</v>
      </c>
      <c r="H27" t="s">
        <v>39</v>
      </c>
      <c r="I27">
        <v>2</v>
      </c>
      <c r="J27" s="1">
        <v>20</v>
      </c>
      <c r="K27" t="s">
        <v>2072</v>
      </c>
      <c r="M27">
        <v>1.3</v>
      </c>
      <c r="N27" t="s">
        <v>67</v>
      </c>
      <c r="O27" t="s">
        <v>2077</v>
      </c>
      <c r="P27">
        <v>0.83</v>
      </c>
      <c r="Q27" s="2">
        <v>0.83</v>
      </c>
      <c r="S27" s="5">
        <v>4.1500000000000002E-2</v>
      </c>
    </row>
    <row r="28" spans="1:19" x14ac:dyDescent="0.3">
      <c r="A28" t="s">
        <v>112</v>
      </c>
      <c r="B28" t="s">
        <v>113</v>
      </c>
      <c r="C28" t="s">
        <v>76</v>
      </c>
      <c r="D28" t="s">
        <v>80</v>
      </c>
      <c r="E28">
        <v>35</v>
      </c>
      <c r="F28" t="s">
        <v>104</v>
      </c>
      <c r="G28" t="s">
        <v>105</v>
      </c>
      <c r="H28" t="s">
        <v>47</v>
      </c>
      <c r="I28">
        <v>10</v>
      </c>
      <c r="J28" s="1">
        <v>75</v>
      </c>
      <c r="K28" t="s">
        <v>2066</v>
      </c>
      <c r="M28">
        <v>0</v>
      </c>
      <c r="P28">
        <v>0.74</v>
      </c>
      <c r="Q28" s="2">
        <v>0.74</v>
      </c>
      <c r="S28" s="5">
        <v>9.8666666666666607E-3</v>
      </c>
    </row>
    <row r="29" spans="1:19" x14ac:dyDescent="0.3">
      <c r="A29" t="s">
        <v>114</v>
      </c>
      <c r="B29" t="s">
        <v>115</v>
      </c>
      <c r="C29" t="s">
        <v>76</v>
      </c>
      <c r="D29" t="s">
        <v>80</v>
      </c>
      <c r="E29">
        <v>36</v>
      </c>
      <c r="F29" t="s">
        <v>31</v>
      </c>
      <c r="G29" t="s">
        <v>32</v>
      </c>
      <c r="H29" t="s">
        <v>63</v>
      </c>
      <c r="I29">
        <v>13</v>
      </c>
      <c r="J29" s="1">
        <v>75</v>
      </c>
      <c r="K29" t="s">
        <v>2066</v>
      </c>
      <c r="N29">
        <v>1</v>
      </c>
      <c r="O29" t="s">
        <v>2076</v>
      </c>
    </row>
    <row r="30" spans="1:19" x14ac:dyDescent="0.3">
      <c r="A30" t="s">
        <v>116</v>
      </c>
      <c r="B30" t="s">
        <v>117</v>
      </c>
      <c r="C30" t="s">
        <v>76</v>
      </c>
      <c r="D30" t="s">
        <v>80</v>
      </c>
      <c r="E30">
        <v>43</v>
      </c>
      <c r="F30" t="s">
        <v>118</v>
      </c>
      <c r="G30" t="s">
        <v>119</v>
      </c>
      <c r="H30" t="s">
        <v>63</v>
      </c>
      <c r="I30">
        <v>2</v>
      </c>
      <c r="J30" s="1">
        <v>40</v>
      </c>
      <c r="K30" t="s">
        <v>2065</v>
      </c>
      <c r="L30" t="s">
        <v>2067</v>
      </c>
      <c r="M30">
        <v>0</v>
      </c>
      <c r="N30" t="s">
        <v>19</v>
      </c>
      <c r="O30" t="s">
        <v>2076</v>
      </c>
      <c r="P30">
        <v>0.89</v>
      </c>
      <c r="Q30" s="2">
        <v>0.89</v>
      </c>
      <c r="S30" s="5">
        <v>2.2249999999999999E-2</v>
      </c>
    </row>
    <row r="31" spans="1:19" x14ac:dyDescent="0.3">
      <c r="A31" t="s">
        <v>120</v>
      </c>
      <c r="B31" t="s">
        <v>121</v>
      </c>
      <c r="C31" t="s">
        <v>76</v>
      </c>
      <c r="D31" t="s">
        <v>80</v>
      </c>
      <c r="E31">
        <v>40</v>
      </c>
      <c r="F31" t="s">
        <v>16</v>
      </c>
      <c r="G31" t="s">
        <v>17</v>
      </c>
      <c r="H31" t="s">
        <v>18</v>
      </c>
      <c r="I31">
        <v>20</v>
      </c>
      <c r="J31" s="1">
        <v>30</v>
      </c>
      <c r="K31" t="s">
        <v>2068</v>
      </c>
      <c r="L31" t="s">
        <v>2069</v>
      </c>
      <c r="N31" t="b">
        <v>0</v>
      </c>
      <c r="O31" t="s">
        <v>2077</v>
      </c>
      <c r="P31">
        <v>90</v>
      </c>
      <c r="Q31" s="2">
        <v>0.9</v>
      </c>
      <c r="R31">
        <v>0.9</v>
      </c>
      <c r="S31" s="5">
        <v>0.03</v>
      </c>
    </row>
    <row r="32" spans="1:19" x14ac:dyDescent="0.3">
      <c r="A32" t="s">
        <v>122</v>
      </c>
      <c r="B32" t="s">
        <v>123</v>
      </c>
      <c r="C32" t="s">
        <v>111</v>
      </c>
      <c r="D32" t="s">
        <v>80</v>
      </c>
      <c r="E32">
        <v>55</v>
      </c>
      <c r="F32" t="s">
        <v>87</v>
      </c>
      <c r="G32" t="s">
        <v>88</v>
      </c>
      <c r="H32" t="s">
        <v>108</v>
      </c>
      <c r="I32">
        <v>3</v>
      </c>
      <c r="J32" s="1">
        <v>100</v>
      </c>
      <c r="K32" t="s">
        <v>2070</v>
      </c>
      <c r="N32">
        <v>1</v>
      </c>
      <c r="O32" t="s">
        <v>2076</v>
      </c>
      <c r="P32">
        <v>0.73</v>
      </c>
      <c r="Q32" s="2">
        <v>0.73</v>
      </c>
      <c r="S32" s="5">
        <v>7.3000000000000001E-3</v>
      </c>
    </row>
    <row r="33" spans="1:19" x14ac:dyDescent="0.3">
      <c r="A33" t="s">
        <v>124</v>
      </c>
      <c r="B33" t="s">
        <v>125</v>
      </c>
      <c r="C33" t="s">
        <v>76</v>
      </c>
      <c r="D33" t="s">
        <v>80</v>
      </c>
      <c r="E33">
        <v>57</v>
      </c>
      <c r="F33" t="s">
        <v>101</v>
      </c>
      <c r="G33" t="s">
        <v>59</v>
      </c>
      <c r="H33" t="s">
        <v>79</v>
      </c>
      <c r="I33">
        <v>17</v>
      </c>
      <c r="J33" s="1">
        <v>20</v>
      </c>
      <c r="K33" t="s">
        <v>2072</v>
      </c>
      <c r="M33">
        <v>3.6</v>
      </c>
      <c r="N33">
        <v>0</v>
      </c>
      <c r="O33" t="s">
        <v>2077</v>
      </c>
      <c r="P33">
        <v>0.63</v>
      </c>
      <c r="Q33" s="2">
        <v>0.63</v>
      </c>
      <c r="S33" s="5">
        <v>3.15E-2</v>
      </c>
    </row>
    <row r="34" spans="1:19" x14ac:dyDescent="0.3">
      <c r="A34" t="s">
        <v>126</v>
      </c>
      <c r="B34" t="s">
        <v>127</v>
      </c>
      <c r="C34" t="s">
        <v>76</v>
      </c>
      <c r="D34" t="s">
        <v>80</v>
      </c>
      <c r="E34">
        <v>52</v>
      </c>
      <c r="F34" t="s">
        <v>42</v>
      </c>
      <c r="G34" t="s">
        <v>43</v>
      </c>
      <c r="H34" t="s">
        <v>33</v>
      </c>
      <c r="I34">
        <v>4</v>
      </c>
      <c r="J34" s="1">
        <v>50</v>
      </c>
      <c r="K34" t="s">
        <v>2071</v>
      </c>
      <c r="N34" t="s">
        <v>53</v>
      </c>
      <c r="O34" t="s">
        <v>2077</v>
      </c>
      <c r="P34">
        <v>0.84</v>
      </c>
      <c r="Q34" s="2">
        <v>0.84</v>
      </c>
      <c r="S34" s="5">
        <v>1.6799999999999999E-2</v>
      </c>
    </row>
    <row r="35" spans="1:19" x14ac:dyDescent="0.3">
      <c r="A35" t="s">
        <v>128</v>
      </c>
      <c r="B35" t="s">
        <v>129</v>
      </c>
      <c r="C35" t="s">
        <v>111</v>
      </c>
      <c r="D35" t="s">
        <v>80</v>
      </c>
      <c r="E35">
        <v>49</v>
      </c>
      <c r="F35" t="s">
        <v>91</v>
      </c>
      <c r="G35" t="s">
        <v>59</v>
      </c>
      <c r="H35" t="s">
        <v>39</v>
      </c>
      <c r="I35">
        <v>25</v>
      </c>
      <c r="J35" s="1">
        <v>30</v>
      </c>
      <c r="K35" t="s">
        <v>2065</v>
      </c>
      <c r="L35" t="s">
        <v>2069</v>
      </c>
      <c r="M35">
        <v>3.4</v>
      </c>
      <c r="N35">
        <v>0</v>
      </c>
      <c r="O35" t="s">
        <v>2077</v>
      </c>
      <c r="P35">
        <v>0.75</v>
      </c>
      <c r="Q35" s="2">
        <v>0.75</v>
      </c>
      <c r="S35" s="5">
        <v>2.5000000000000001E-2</v>
      </c>
    </row>
    <row r="36" spans="1:19" x14ac:dyDescent="0.3">
      <c r="A36" t="s">
        <v>130</v>
      </c>
      <c r="B36" t="s">
        <v>131</v>
      </c>
      <c r="C36" t="s">
        <v>76</v>
      </c>
      <c r="D36" t="s">
        <v>80</v>
      </c>
      <c r="E36">
        <v>25</v>
      </c>
      <c r="F36" t="s">
        <v>91</v>
      </c>
      <c r="G36" t="s">
        <v>59</v>
      </c>
      <c r="H36" t="s">
        <v>66</v>
      </c>
      <c r="I36">
        <v>1</v>
      </c>
      <c r="J36" s="1">
        <v>30</v>
      </c>
      <c r="K36" t="s">
        <v>2068</v>
      </c>
      <c r="L36" t="s">
        <v>2069</v>
      </c>
      <c r="M36">
        <v>3.2</v>
      </c>
      <c r="N36">
        <v>0</v>
      </c>
      <c r="O36" t="s">
        <v>2077</v>
      </c>
      <c r="P36">
        <v>0.87</v>
      </c>
      <c r="Q36" s="2">
        <v>0.87</v>
      </c>
      <c r="S36" s="5">
        <v>2.9000000000000001E-2</v>
      </c>
    </row>
    <row r="37" spans="1:19" x14ac:dyDescent="0.3">
      <c r="A37" t="s">
        <v>132</v>
      </c>
      <c r="B37" t="s">
        <v>131</v>
      </c>
      <c r="C37" t="s">
        <v>76</v>
      </c>
      <c r="D37" t="s">
        <v>80</v>
      </c>
      <c r="E37">
        <v>31</v>
      </c>
      <c r="F37" t="s">
        <v>83</v>
      </c>
      <c r="G37" t="s">
        <v>84</v>
      </c>
      <c r="H37" t="s">
        <v>52</v>
      </c>
      <c r="J37" s="1">
        <v>50</v>
      </c>
      <c r="K37" t="s">
        <v>2071</v>
      </c>
      <c r="M37">
        <v>1.4</v>
      </c>
      <c r="N37" t="s">
        <v>67</v>
      </c>
      <c r="O37" t="s">
        <v>2077</v>
      </c>
      <c r="P37">
        <v>0.8</v>
      </c>
      <c r="Q37" s="2">
        <v>0.8</v>
      </c>
      <c r="S37" s="5">
        <v>1.6E-2</v>
      </c>
    </row>
    <row r="38" spans="1:19" x14ac:dyDescent="0.3">
      <c r="A38" t="s">
        <v>133</v>
      </c>
      <c r="B38" t="s">
        <v>134</v>
      </c>
      <c r="C38" t="s">
        <v>111</v>
      </c>
      <c r="D38" t="s">
        <v>80</v>
      </c>
      <c r="E38">
        <v>31</v>
      </c>
      <c r="F38" t="s">
        <v>31</v>
      </c>
      <c r="G38" t="s">
        <v>32</v>
      </c>
      <c r="H38" t="s">
        <v>79</v>
      </c>
      <c r="J38" s="1">
        <v>20</v>
      </c>
      <c r="K38" t="s">
        <v>2068</v>
      </c>
      <c r="L38" t="s">
        <v>2072</v>
      </c>
      <c r="N38" t="s">
        <v>96</v>
      </c>
      <c r="O38" t="s">
        <v>2076</v>
      </c>
      <c r="P38">
        <v>0.84</v>
      </c>
      <c r="Q38" s="2">
        <v>0.84</v>
      </c>
      <c r="S38" s="5">
        <v>4.2000000000000003E-2</v>
      </c>
    </row>
    <row r="39" spans="1:19" x14ac:dyDescent="0.3">
      <c r="A39" t="s">
        <v>135</v>
      </c>
      <c r="B39" t="s">
        <v>136</v>
      </c>
      <c r="C39" t="s">
        <v>111</v>
      </c>
      <c r="D39" t="s">
        <v>80</v>
      </c>
      <c r="E39">
        <v>38</v>
      </c>
      <c r="F39" t="s">
        <v>101</v>
      </c>
      <c r="G39" t="s">
        <v>59</v>
      </c>
      <c r="H39" t="s">
        <v>39</v>
      </c>
      <c r="I39">
        <v>4</v>
      </c>
      <c r="J39" s="1">
        <v>40</v>
      </c>
      <c r="K39" t="s">
        <v>2065</v>
      </c>
      <c r="L39" t="s">
        <v>2067</v>
      </c>
      <c r="M39">
        <v>1.5</v>
      </c>
      <c r="N39" t="s">
        <v>53</v>
      </c>
      <c r="O39" t="s">
        <v>2077</v>
      </c>
      <c r="P39">
        <v>0.9</v>
      </c>
      <c r="Q39" s="2">
        <v>0.9</v>
      </c>
      <c r="S39" s="5">
        <v>2.2499999999999999E-2</v>
      </c>
    </row>
    <row r="40" spans="1:19" x14ac:dyDescent="0.3">
      <c r="A40" t="s">
        <v>137</v>
      </c>
      <c r="B40" t="s">
        <v>138</v>
      </c>
      <c r="C40" t="s">
        <v>76</v>
      </c>
      <c r="D40" t="s">
        <v>80</v>
      </c>
      <c r="E40">
        <v>43</v>
      </c>
      <c r="F40" t="s">
        <v>139</v>
      </c>
      <c r="G40" t="s">
        <v>59</v>
      </c>
      <c r="H40" t="s">
        <v>66</v>
      </c>
      <c r="I40">
        <v>1</v>
      </c>
      <c r="M40">
        <v>2.9</v>
      </c>
      <c r="N40" t="s">
        <v>67</v>
      </c>
      <c r="O40" t="s">
        <v>2077</v>
      </c>
      <c r="P40">
        <v>0.78</v>
      </c>
      <c r="Q40" s="2">
        <v>0.78</v>
      </c>
    </row>
    <row r="41" spans="1:19" x14ac:dyDescent="0.3">
      <c r="A41" t="s">
        <v>140</v>
      </c>
      <c r="B41" t="s">
        <v>141</v>
      </c>
      <c r="C41" t="s">
        <v>111</v>
      </c>
      <c r="D41" t="s">
        <v>80</v>
      </c>
      <c r="E41">
        <v>49</v>
      </c>
      <c r="F41" t="s">
        <v>42</v>
      </c>
      <c r="G41" t="s">
        <v>43</v>
      </c>
      <c r="H41" t="s">
        <v>108</v>
      </c>
      <c r="I41">
        <v>4</v>
      </c>
      <c r="J41" s="1">
        <v>75</v>
      </c>
      <c r="K41" t="s">
        <v>2066</v>
      </c>
      <c r="M41">
        <v>2.9</v>
      </c>
      <c r="N41" t="s">
        <v>53</v>
      </c>
      <c r="O41" t="s">
        <v>2077</v>
      </c>
    </row>
    <row r="42" spans="1:19" x14ac:dyDescent="0.3">
      <c r="A42" t="s">
        <v>142</v>
      </c>
      <c r="B42" t="s">
        <v>143</v>
      </c>
      <c r="C42" t="s">
        <v>76</v>
      </c>
      <c r="D42" t="s">
        <v>80</v>
      </c>
      <c r="E42">
        <v>31</v>
      </c>
      <c r="F42" t="s">
        <v>50</v>
      </c>
      <c r="G42" t="s">
        <v>51</v>
      </c>
      <c r="H42" t="s">
        <v>52</v>
      </c>
      <c r="I42">
        <v>11</v>
      </c>
      <c r="J42" s="1">
        <v>40</v>
      </c>
      <c r="K42" t="s">
        <v>2068</v>
      </c>
      <c r="L42" t="s">
        <v>2067</v>
      </c>
      <c r="M42">
        <v>4.3</v>
      </c>
      <c r="N42" t="s">
        <v>96</v>
      </c>
      <c r="O42" t="s">
        <v>2076</v>
      </c>
      <c r="P42">
        <v>0.76</v>
      </c>
      <c r="Q42" s="2">
        <v>0.76</v>
      </c>
      <c r="S42" s="5">
        <v>1.9E-2</v>
      </c>
    </row>
    <row r="43" spans="1:19" x14ac:dyDescent="0.3">
      <c r="A43" t="s">
        <v>144</v>
      </c>
      <c r="B43" t="s">
        <v>145</v>
      </c>
      <c r="C43" t="s">
        <v>111</v>
      </c>
      <c r="D43" t="s">
        <v>80</v>
      </c>
      <c r="E43">
        <v>24</v>
      </c>
      <c r="F43" t="s">
        <v>139</v>
      </c>
      <c r="G43" t="s">
        <v>59</v>
      </c>
      <c r="H43" t="s">
        <v>39</v>
      </c>
      <c r="I43">
        <v>2</v>
      </c>
      <c r="J43" s="1">
        <v>30</v>
      </c>
      <c r="K43" t="s">
        <v>2069</v>
      </c>
      <c r="M43">
        <v>3.6</v>
      </c>
      <c r="P43">
        <v>0.92</v>
      </c>
      <c r="Q43" s="2">
        <v>0.92</v>
      </c>
      <c r="S43" s="5">
        <v>3.06666666666667E-2</v>
      </c>
    </row>
    <row r="44" spans="1:19" x14ac:dyDescent="0.3">
      <c r="A44" t="s">
        <v>146</v>
      </c>
      <c r="B44" t="s">
        <v>147</v>
      </c>
      <c r="C44" t="s">
        <v>111</v>
      </c>
      <c r="D44" t="s">
        <v>80</v>
      </c>
      <c r="E44">
        <v>29</v>
      </c>
      <c r="F44" t="s">
        <v>104</v>
      </c>
      <c r="G44" t="s">
        <v>105</v>
      </c>
      <c r="H44" t="s">
        <v>79</v>
      </c>
      <c r="I44">
        <v>10</v>
      </c>
      <c r="J44" s="1">
        <v>40</v>
      </c>
      <c r="K44" t="s">
        <v>2067</v>
      </c>
      <c r="M44">
        <v>2.2000000000000002</v>
      </c>
      <c r="N44" t="s">
        <v>53</v>
      </c>
      <c r="O44" t="s">
        <v>2077</v>
      </c>
      <c r="P44">
        <v>0.67</v>
      </c>
      <c r="Q44" s="2">
        <v>0.67</v>
      </c>
      <c r="S44" s="5">
        <v>1.6750000000000001E-2</v>
      </c>
    </row>
    <row r="45" spans="1:19" x14ac:dyDescent="0.3">
      <c r="A45" t="s">
        <v>148</v>
      </c>
      <c r="B45" t="s">
        <v>149</v>
      </c>
      <c r="C45" t="s">
        <v>76</v>
      </c>
      <c r="D45" t="s">
        <v>80</v>
      </c>
      <c r="E45">
        <v>56</v>
      </c>
      <c r="F45" t="s">
        <v>58</v>
      </c>
      <c r="G45" t="s">
        <v>59</v>
      </c>
      <c r="H45" t="s">
        <v>66</v>
      </c>
      <c r="I45">
        <v>34</v>
      </c>
      <c r="M45">
        <v>2.1</v>
      </c>
      <c r="N45" t="s">
        <v>19</v>
      </c>
      <c r="O45" t="s">
        <v>2076</v>
      </c>
      <c r="P45">
        <v>0.84</v>
      </c>
      <c r="Q45" s="2">
        <v>0.84</v>
      </c>
    </row>
    <row r="46" spans="1:19" x14ac:dyDescent="0.3">
      <c r="A46" t="s">
        <v>150</v>
      </c>
      <c r="B46" t="s">
        <v>149</v>
      </c>
      <c r="C46" t="s">
        <v>111</v>
      </c>
      <c r="D46" t="s">
        <v>80</v>
      </c>
      <c r="E46">
        <v>48</v>
      </c>
      <c r="F46" t="s">
        <v>50</v>
      </c>
      <c r="G46" t="s">
        <v>51</v>
      </c>
      <c r="H46" t="s">
        <v>18</v>
      </c>
      <c r="I46">
        <v>13</v>
      </c>
      <c r="J46" s="1">
        <v>100</v>
      </c>
      <c r="K46" t="s">
        <v>2065</v>
      </c>
      <c r="L46" t="s">
        <v>2070</v>
      </c>
      <c r="M46">
        <v>2.7</v>
      </c>
      <c r="P46">
        <v>0.62</v>
      </c>
      <c r="Q46" s="2">
        <v>0.62</v>
      </c>
      <c r="S46" s="5">
        <v>6.1999999999999998E-3</v>
      </c>
    </row>
    <row r="47" spans="1:19" x14ac:dyDescent="0.3">
      <c r="A47" t="s">
        <v>151</v>
      </c>
      <c r="B47" t="s">
        <v>152</v>
      </c>
      <c r="C47" t="s">
        <v>76</v>
      </c>
      <c r="D47" t="s">
        <v>80</v>
      </c>
      <c r="E47">
        <v>53</v>
      </c>
      <c r="F47" t="s">
        <v>37</v>
      </c>
      <c r="G47" t="s">
        <v>38</v>
      </c>
      <c r="H47" t="s">
        <v>79</v>
      </c>
      <c r="I47">
        <v>14</v>
      </c>
      <c r="J47" s="1">
        <v>30</v>
      </c>
      <c r="K47" t="s">
        <v>2069</v>
      </c>
      <c r="M47">
        <v>0</v>
      </c>
      <c r="N47" t="b">
        <v>0</v>
      </c>
      <c r="O47" t="s">
        <v>2077</v>
      </c>
      <c r="P47">
        <v>0.83</v>
      </c>
      <c r="Q47" s="2">
        <v>0.83</v>
      </c>
      <c r="S47" s="5">
        <v>2.76666666666667E-2</v>
      </c>
    </row>
    <row r="48" spans="1:19" x14ac:dyDescent="0.3">
      <c r="A48" t="s">
        <v>153</v>
      </c>
      <c r="B48" t="s">
        <v>154</v>
      </c>
      <c r="C48" t="s">
        <v>111</v>
      </c>
      <c r="D48" t="s">
        <v>80</v>
      </c>
      <c r="E48">
        <v>42</v>
      </c>
      <c r="F48" t="s">
        <v>155</v>
      </c>
      <c r="G48" t="s">
        <v>17</v>
      </c>
      <c r="H48" t="s">
        <v>66</v>
      </c>
      <c r="I48">
        <v>19</v>
      </c>
      <c r="J48" s="1">
        <v>75</v>
      </c>
      <c r="K48" t="s">
        <v>2068</v>
      </c>
      <c r="L48" t="s">
        <v>2066</v>
      </c>
      <c r="M48">
        <v>4.5999999999999996</v>
      </c>
      <c r="N48">
        <v>0</v>
      </c>
      <c r="O48" t="s">
        <v>2077</v>
      </c>
      <c r="P48">
        <v>0.78</v>
      </c>
      <c r="Q48" s="2">
        <v>0.78</v>
      </c>
      <c r="S48" s="5">
        <v>1.04E-2</v>
      </c>
    </row>
    <row r="49" spans="1:19" x14ac:dyDescent="0.3">
      <c r="A49" t="s">
        <v>156</v>
      </c>
      <c r="B49" t="s">
        <v>157</v>
      </c>
      <c r="C49" t="s">
        <v>76</v>
      </c>
      <c r="D49" t="s">
        <v>80</v>
      </c>
      <c r="E49">
        <v>34</v>
      </c>
      <c r="F49" t="s">
        <v>158</v>
      </c>
      <c r="G49" t="s">
        <v>159</v>
      </c>
      <c r="H49" t="s">
        <v>18</v>
      </c>
      <c r="J49" s="1">
        <v>50</v>
      </c>
      <c r="K49" t="s">
        <v>2065</v>
      </c>
      <c r="L49" t="s">
        <v>2071</v>
      </c>
      <c r="M49">
        <v>0</v>
      </c>
      <c r="N49" t="b">
        <v>0</v>
      </c>
      <c r="O49" t="s">
        <v>2077</v>
      </c>
      <c r="P49">
        <v>84</v>
      </c>
      <c r="Q49" s="2">
        <v>0.84</v>
      </c>
      <c r="R49">
        <v>0.84</v>
      </c>
      <c r="S49" s="5">
        <v>1.6799999999999999E-2</v>
      </c>
    </row>
    <row r="50" spans="1:19" x14ac:dyDescent="0.3">
      <c r="A50" t="s">
        <v>160</v>
      </c>
      <c r="B50" t="s">
        <v>161</v>
      </c>
      <c r="C50" t="s">
        <v>15</v>
      </c>
      <c r="D50" t="s">
        <v>20</v>
      </c>
      <c r="F50" t="s">
        <v>158</v>
      </c>
      <c r="G50" t="s">
        <v>159</v>
      </c>
      <c r="H50" t="s">
        <v>66</v>
      </c>
      <c r="I50">
        <v>3</v>
      </c>
      <c r="J50" s="1">
        <v>40</v>
      </c>
      <c r="K50" t="s">
        <v>2067</v>
      </c>
      <c r="M50">
        <v>4.5999999999999996</v>
      </c>
      <c r="N50" t="s">
        <v>53</v>
      </c>
      <c r="O50" t="s">
        <v>2077</v>
      </c>
      <c r="P50">
        <v>0.74</v>
      </c>
      <c r="Q50" s="2">
        <v>0.74</v>
      </c>
      <c r="S50" s="5">
        <v>1.8499999999999999E-2</v>
      </c>
    </row>
    <row r="51" spans="1:19" x14ac:dyDescent="0.3">
      <c r="A51" t="s">
        <v>162</v>
      </c>
      <c r="B51" t="s">
        <v>163</v>
      </c>
      <c r="C51" t="s">
        <v>36</v>
      </c>
      <c r="D51" t="s">
        <v>20</v>
      </c>
      <c r="E51">
        <v>57</v>
      </c>
      <c r="F51" t="s">
        <v>155</v>
      </c>
      <c r="G51" t="s">
        <v>17</v>
      </c>
      <c r="H51" t="s">
        <v>52</v>
      </c>
      <c r="I51">
        <v>18</v>
      </c>
      <c r="J51" s="1">
        <v>30</v>
      </c>
      <c r="K51" t="s">
        <v>2068</v>
      </c>
      <c r="L51" t="s">
        <v>2069</v>
      </c>
      <c r="M51">
        <v>1.1000000000000001</v>
      </c>
      <c r="N51" t="b">
        <v>0</v>
      </c>
      <c r="O51" t="s">
        <v>2077</v>
      </c>
      <c r="P51">
        <v>0.9</v>
      </c>
      <c r="Q51" s="2">
        <v>0.9</v>
      </c>
      <c r="S51" s="5">
        <v>0.03</v>
      </c>
    </row>
    <row r="52" spans="1:19" x14ac:dyDescent="0.3">
      <c r="A52" t="s">
        <v>164</v>
      </c>
      <c r="B52" t="s">
        <v>165</v>
      </c>
      <c r="C52" t="s">
        <v>15</v>
      </c>
      <c r="D52" t="s">
        <v>20</v>
      </c>
      <c r="E52">
        <v>34</v>
      </c>
      <c r="F52" t="s">
        <v>101</v>
      </c>
      <c r="G52" t="s">
        <v>59</v>
      </c>
      <c r="H52" t="s">
        <v>39</v>
      </c>
      <c r="I52">
        <v>10</v>
      </c>
      <c r="M52">
        <v>1.7</v>
      </c>
      <c r="N52" t="s">
        <v>53</v>
      </c>
      <c r="O52" t="s">
        <v>2077</v>
      </c>
      <c r="P52">
        <v>0.96</v>
      </c>
      <c r="Q52" s="2">
        <v>0.96</v>
      </c>
    </row>
    <row r="53" spans="1:19" x14ac:dyDescent="0.3">
      <c r="A53" t="s">
        <v>166</v>
      </c>
      <c r="B53" t="s">
        <v>167</v>
      </c>
      <c r="C53" t="s">
        <v>15</v>
      </c>
      <c r="D53" t="s">
        <v>20</v>
      </c>
      <c r="E53">
        <v>21</v>
      </c>
      <c r="F53" t="s">
        <v>23</v>
      </c>
      <c r="G53" t="s">
        <v>24</v>
      </c>
      <c r="H53" t="s">
        <v>33</v>
      </c>
      <c r="I53">
        <v>2</v>
      </c>
      <c r="J53" s="1">
        <v>50</v>
      </c>
      <c r="K53" t="s">
        <v>2071</v>
      </c>
      <c r="M53">
        <v>2.6</v>
      </c>
      <c r="N53" t="b">
        <v>0</v>
      </c>
      <c r="O53" t="s">
        <v>2077</v>
      </c>
      <c r="P53">
        <v>0.86</v>
      </c>
      <c r="Q53" s="2">
        <v>0.86</v>
      </c>
      <c r="S53" s="5">
        <v>1.72E-2</v>
      </c>
    </row>
    <row r="54" spans="1:19" x14ac:dyDescent="0.3">
      <c r="A54" t="s">
        <v>168</v>
      </c>
      <c r="B54" t="s">
        <v>169</v>
      </c>
      <c r="C54" t="s">
        <v>15</v>
      </c>
      <c r="D54" t="s">
        <v>20</v>
      </c>
      <c r="F54" t="s">
        <v>139</v>
      </c>
      <c r="G54" t="s">
        <v>59</v>
      </c>
      <c r="H54" t="s">
        <v>63</v>
      </c>
      <c r="I54">
        <v>5</v>
      </c>
      <c r="J54" s="1">
        <v>20</v>
      </c>
      <c r="K54" t="s">
        <v>2065</v>
      </c>
      <c r="L54" t="s">
        <v>2072</v>
      </c>
      <c r="M54">
        <v>1.1000000000000001</v>
      </c>
      <c r="N54" t="s">
        <v>67</v>
      </c>
      <c r="O54" t="s">
        <v>2077</v>
      </c>
      <c r="P54">
        <v>0.74</v>
      </c>
      <c r="Q54" s="2">
        <v>0.74</v>
      </c>
      <c r="S54" s="5">
        <v>3.6999999999999998E-2</v>
      </c>
    </row>
    <row r="55" spans="1:19" x14ac:dyDescent="0.3">
      <c r="A55" t="s">
        <v>170</v>
      </c>
      <c r="B55" t="s">
        <v>171</v>
      </c>
      <c r="C55" t="s">
        <v>15</v>
      </c>
      <c r="D55" t="s">
        <v>20</v>
      </c>
      <c r="E55">
        <v>58</v>
      </c>
      <c r="F55" t="s">
        <v>46</v>
      </c>
      <c r="G55" t="s">
        <v>17</v>
      </c>
      <c r="H55" t="s">
        <v>39</v>
      </c>
      <c r="I55">
        <v>23</v>
      </c>
      <c r="M55">
        <v>4.9000000000000004</v>
      </c>
      <c r="N55" t="b">
        <v>0</v>
      </c>
      <c r="O55" t="s">
        <v>2077</v>
      </c>
    </row>
    <row r="56" spans="1:19" x14ac:dyDescent="0.3">
      <c r="A56" t="s">
        <v>172</v>
      </c>
      <c r="B56" t="s">
        <v>173</v>
      </c>
      <c r="C56" t="s">
        <v>15</v>
      </c>
      <c r="D56" t="s">
        <v>20</v>
      </c>
      <c r="E56">
        <v>51</v>
      </c>
      <c r="F56" t="s">
        <v>101</v>
      </c>
      <c r="G56" t="s">
        <v>59</v>
      </c>
      <c r="H56" t="s">
        <v>60</v>
      </c>
      <c r="I56">
        <v>9</v>
      </c>
      <c r="J56" s="1">
        <v>40</v>
      </c>
      <c r="K56" t="s">
        <v>2065</v>
      </c>
      <c r="L56" t="s">
        <v>2067</v>
      </c>
      <c r="N56" t="s">
        <v>53</v>
      </c>
      <c r="O56" t="s">
        <v>2077</v>
      </c>
      <c r="P56">
        <v>60</v>
      </c>
      <c r="Q56" s="2">
        <v>0.6</v>
      </c>
      <c r="R56">
        <v>0.6</v>
      </c>
      <c r="S56" s="5">
        <v>1.4999999999999999E-2</v>
      </c>
    </row>
    <row r="57" spans="1:19" x14ac:dyDescent="0.3">
      <c r="A57" t="s">
        <v>174</v>
      </c>
      <c r="B57" t="s">
        <v>175</v>
      </c>
      <c r="C57" t="s">
        <v>111</v>
      </c>
      <c r="D57" t="s">
        <v>80</v>
      </c>
      <c r="E57">
        <v>32</v>
      </c>
      <c r="F57" t="s">
        <v>50</v>
      </c>
      <c r="G57" t="s">
        <v>51</v>
      </c>
      <c r="H57" t="s">
        <v>60</v>
      </c>
      <c r="I57">
        <v>10</v>
      </c>
      <c r="J57" s="1">
        <v>20</v>
      </c>
      <c r="K57" t="s">
        <v>2065</v>
      </c>
      <c r="L57" t="s">
        <v>2072</v>
      </c>
      <c r="N57" t="s">
        <v>96</v>
      </c>
      <c r="O57" t="s">
        <v>2076</v>
      </c>
      <c r="P57">
        <v>0.92</v>
      </c>
      <c r="Q57" s="2">
        <v>0.92</v>
      </c>
      <c r="S57" s="5">
        <v>4.5999999999999999E-2</v>
      </c>
    </row>
    <row r="58" spans="1:19" x14ac:dyDescent="0.3">
      <c r="A58" t="s">
        <v>176</v>
      </c>
      <c r="B58" t="s">
        <v>177</v>
      </c>
      <c r="C58" t="s">
        <v>111</v>
      </c>
      <c r="D58" t="s">
        <v>80</v>
      </c>
      <c r="E58">
        <v>60</v>
      </c>
      <c r="F58" t="s">
        <v>37</v>
      </c>
      <c r="G58" t="s">
        <v>38</v>
      </c>
      <c r="H58" t="s">
        <v>39</v>
      </c>
      <c r="I58">
        <v>41</v>
      </c>
      <c r="J58" s="1">
        <v>40</v>
      </c>
      <c r="K58" t="s">
        <v>2065</v>
      </c>
      <c r="L58" t="s">
        <v>2067</v>
      </c>
      <c r="M58">
        <v>4.9000000000000004</v>
      </c>
      <c r="N58">
        <v>1</v>
      </c>
      <c r="O58" t="s">
        <v>2076</v>
      </c>
      <c r="P58">
        <v>66</v>
      </c>
      <c r="Q58" s="2">
        <v>0.66</v>
      </c>
      <c r="R58">
        <v>0.66</v>
      </c>
      <c r="S58" s="5">
        <v>1.6500000000000001E-2</v>
      </c>
    </row>
    <row r="59" spans="1:19" x14ac:dyDescent="0.3">
      <c r="A59" t="s">
        <v>178</v>
      </c>
      <c r="B59" t="s">
        <v>179</v>
      </c>
      <c r="C59" t="s">
        <v>76</v>
      </c>
      <c r="D59" t="s">
        <v>80</v>
      </c>
      <c r="E59">
        <v>26</v>
      </c>
      <c r="F59" t="s">
        <v>46</v>
      </c>
      <c r="G59" t="s">
        <v>17</v>
      </c>
      <c r="H59" t="s">
        <v>18</v>
      </c>
      <c r="I59">
        <v>3</v>
      </c>
      <c r="J59" s="1">
        <v>100</v>
      </c>
      <c r="K59" t="s">
        <v>2068</v>
      </c>
      <c r="L59" t="s">
        <v>2070</v>
      </c>
      <c r="M59">
        <v>2.8</v>
      </c>
      <c r="N59">
        <v>1</v>
      </c>
      <c r="O59" t="s">
        <v>2076</v>
      </c>
      <c r="P59">
        <v>0.61</v>
      </c>
      <c r="Q59" s="2">
        <v>0.61</v>
      </c>
      <c r="S59" s="5">
        <v>6.1000000000000004E-3</v>
      </c>
    </row>
    <row r="60" spans="1:19" x14ac:dyDescent="0.3">
      <c r="A60" t="s">
        <v>180</v>
      </c>
      <c r="B60" t="s">
        <v>181</v>
      </c>
      <c r="C60" t="s">
        <v>76</v>
      </c>
      <c r="D60" t="s">
        <v>80</v>
      </c>
      <c r="E60">
        <v>44</v>
      </c>
      <c r="F60" t="s">
        <v>91</v>
      </c>
      <c r="G60" t="s">
        <v>59</v>
      </c>
      <c r="H60" t="s">
        <v>60</v>
      </c>
      <c r="I60">
        <v>6</v>
      </c>
      <c r="J60" s="1">
        <v>75</v>
      </c>
      <c r="K60" t="s">
        <v>2066</v>
      </c>
      <c r="M60">
        <v>4.5999999999999996</v>
      </c>
      <c r="N60" t="s">
        <v>96</v>
      </c>
      <c r="O60" t="s">
        <v>2076</v>
      </c>
      <c r="P60">
        <v>72</v>
      </c>
      <c r="Q60" s="2">
        <v>0.72</v>
      </c>
      <c r="R60">
        <v>0.72</v>
      </c>
      <c r="S60" s="5">
        <v>9.5999999999999992E-3</v>
      </c>
    </row>
    <row r="61" spans="1:19" x14ac:dyDescent="0.3">
      <c r="A61" t="s">
        <v>182</v>
      </c>
      <c r="B61" t="s">
        <v>183</v>
      </c>
      <c r="C61" t="s">
        <v>76</v>
      </c>
      <c r="D61" t="s">
        <v>80</v>
      </c>
      <c r="E61">
        <v>42</v>
      </c>
      <c r="F61" t="s">
        <v>104</v>
      </c>
      <c r="G61" t="s">
        <v>105</v>
      </c>
      <c r="H61" t="s">
        <v>52</v>
      </c>
      <c r="I61">
        <v>8</v>
      </c>
      <c r="J61" s="1">
        <v>50</v>
      </c>
      <c r="K61" t="s">
        <v>2068</v>
      </c>
      <c r="L61" t="s">
        <v>2071</v>
      </c>
    </row>
    <row r="62" spans="1:19" x14ac:dyDescent="0.3">
      <c r="A62" t="s">
        <v>184</v>
      </c>
      <c r="B62" t="s">
        <v>185</v>
      </c>
      <c r="C62" t="s">
        <v>111</v>
      </c>
      <c r="D62" t="s">
        <v>80</v>
      </c>
      <c r="E62">
        <v>58</v>
      </c>
      <c r="F62" t="s">
        <v>139</v>
      </c>
      <c r="G62" t="s">
        <v>59</v>
      </c>
      <c r="H62" t="s">
        <v>60</v>
      </c>
      <c r="I62">
        <v>22</v>
      </c>
      <c r="J62" s="1">
        <v>100</v>
      </c>
      <c r="K62" t="s">
        <v>2070</v>
      </c>
      <c r="M62">
        <v>3.7</v>
      </c>
      <c r="N62">
        <v>0</v>
      </c>
      <c r="O62" t="s">
        <v>2077</v>
      </c>
    </row>
    <row r="63" spans="1:19" x14ac:dyDescent="0.3">
      <c r="A63" t="s">
        <v>186</v>
      </c>
      <c r="B63" t="s">
        <v>187</v>
      </c>
      <c r="C63" t="s">
        <v>111</v>
      </c>
      <c r="D63" t="s">
        <v>80</v>
      </c>
      <c r="E63">
        <v>44</v>
      </c>
      <c r="F63" t="s">
        <v>188</v>
      </c>
      <c r="G63" t="s">
        <v>189</v>
      </c>
      <c r="H63" t="s">
        <v>47</v>
      </c>
      <c r="I63">
        <v>14</v>
      </c>
      <c r="J63" s="1">
        <v>75</v>
      </c>
      <c r="K63" t="s">
        <v>2068</v>
      </c>
      <c r="L63" t="s">
        <v>2066</v>
      </c>
      <c r="M63">
        <v>3</v>
      </c>
      <c r="N63">
        <v>0</v>
      </c>
      <c r="O63" t="s">
        <v>2077</v>
      </c>
      <c r="P63">
        <v>0.78</v>
      </c>
      <c r="Q63" s="2">
        <v>0.78</v>
      </c>
      <c r="S63" s="5">
        <v>1.04E-2</v>
      </c>
    </row>
    <row r="64" spans="1:19" x14ac:dyDescent="0.3">
      <c r="A64" t="s">
        <v>190</v>
      </c>
      <c r="B64" t="s">
        <v>191</v>
      </c>
      <c r="C64" t="s">
        <v>76</v>
      </c>
      <c r="D64" t="s">
        <v>80</v>
      </c>
      <c r="E64">
        <v>59</v>
      </c>
      <c r="F64" t="s">
        <v>58</v>
      </c>
      <c r="G64" t="s">
        <v>59</v>
      </c>
      <c r="H64" t="s">
        <v>108</v>
      </c>
      <c r="I64">
        <v>3</v>
      </c>
      <c r="J64" s="1">
        <v>50</v>
      </c>
      <c r="K64" t="s">
        <v>2068</v>
      </c>
      <c r="L64" t="s">
        <v>2071</v>
      </c>
      <c r="M64">
        <v>0</v>
      </c>
      <c r="N64" t="s">
        <v>67</v>
      </c>
      <c r="O64" t="s">
        <v>2077</v>
      </c>
    </row>
    <row r="65" spans="1:19" x14ac:dyDescent="0.3">
      <c r="A65" t="s">
        <v>192</v>
      </c>
      <c r="B65" t="s">
        <v>193</v>
      </c>
      <c r="C65" t="s">
        <v>76</v>
      </c>
      <c r="D65" t="s">
        <v>80</v>
      </c>
      <c r="E65">
        <v>49</v>
      </c>
      <c r="F65" t="s">
        <v>16</v>
      </c>
      <c r="G65" t="s">
        <v>17</v>
      </c>
      <c r="H65" t="s">
        <v>66</v>
      </c>
      <c r="I65">
        <v>4</v>
      </c>
      <c r="J65" s="1">
        <v>75</v>
      </c>
      <c r="K65" t="s">
        <v>2065</v>
      </c>
      <c r="L65" t="s">
        <v>2066</v>
      </c>
      <c r="M65">
        <v>2.1</v>
      </c>
      <c r="P65">
        <v>0.85</v>
      </c>
      <c r="Q65" s="2">
        <v>0.85</v>
      </c>
      <c r="S65" s="5">
        <v>1.1333333333333299E-2</v>
      </c>
    </row>
    <row r="66" spans="1:19" x14ac:dyDescent="0.3">
      <c r="A66" t="s">
        <v>194</v>
      </c>
      <c r="B66" t="s">
        <v>195</v>
      </c>
      <c r="C66" t="s">
        <v>76</v>
      </c>
      <c r="D66" t="s">
        <v>80</v>
      </c>
      <c r="E66">
        <v>55</v>
      </c>
      <c r="F66" t="s">
        <v>77</v>
      </c>
      <c r="G66" t="s">
        <v>78</v>
      </c>
      <c r="H66" t="s">
        <v>39</v>
      </c>
      <c r="I66">
        <v>20</v>
      </c>
      <c r="J66" s="1">
        <v>75</v>
      </c>
      <c r="K66" t="s">
        <v>2066</v>
      </c>
      <c r="M66">
        <v>2.9</v>
      </c>
      <c r="N66" t="b">
        <v>0</v>
      </c>
      <c r="O66" t="s">
        <v>2077</v>
      </c>
    </row>
    <row r="67" spans="1:19" x14ac:dyDescent="0.3">
      <c r="A67" t="s">
        <v>196</v>
      </c>
      <c r="B67" t="s">
        <v>197</v>
      </c>
      <c r="C67" t="s">
        <v>111</v>
      </c>
      <c r="D67" t="s">
        <v>80</v>
      </c>
      <c r="E67">
        <v>53</v>
      </c>
      <c r="F67" t="s">
        <v>42</v>
      </c>
      <c r="G67" t="s">
        <v>43</v>
      </c>
      <c r="H67" t="s">
        <v>18</v>
      </c>
      <c r="I67">
        <v>34</v>
      </c>
      <c r="J67" s="1">
        <v>30</v>
      </c>
      <c r="K67" t="s">
        <v>2069</v>
      </c>
      <c r="N67" t="s">
        <v>96</v>
      </c>
      <c r="O67" t="s">
        <v>2076</v>
      </c>
    </row>
    <row r="68" spans="1:19" x14ac:dyDescent="0.3">
      <c r="A68" t="s">
        <v>198</v>
      </c>
      <c r="B68" t="s">
        <v>199</v>
      </c>
      <c r="C68" t="s">
        <v>76</v>
      </c>
      <c r="D68" t="s">
        <v>80</v>
      </c>
      <c r="E68">
        <v>23</v>
      </c>
      <c r="F68" t="s">
        <v>155</v>
      </c>
      <c r="G68" t="s">
        <v>17</v>
      </c>
      <c r="H68" t="s">
        <v>33</v>
      </c>
      <c r="I68">
        <v>2</v>
      </c>
      <c r="J68" s="1">
        <v>20</v>
      </c>
      <c r="K68" t="s">
        <v>2068</v>
      </c>
      <c r="L68" t="s">
        <v>2072</v>
      </c>
      <c r="M68">
        <v>1.3</v>
      </c>
      <c r="N68" t="s">
        <v>53</v>
      </c>
      <c r="O68" t="s">
        <v>2077</v>
      </c>
    </row>
    <row r="69" spans="1:19" x14ac:dyDescent="0.3">
      <c r="A69" t="s">
        <v>200</v>
      </c>
      <c r="B69" t="s">
        <v>201</v>
      </c>
      <c r="C69" t="s">
        <v>76</v>
      </c>
      <c r="D69" t="s">
        <v>80</v>
      </c>
      <c r="E69">
        <v>22</v>
      </c>
      <c r="F69" t="s">
        <v>42</v>
      </c>
      <c r="G69" t="s">
        <v>43</v>
      </c>
      <c r="H69" t="s">
        <v>66</v>
      </c>
      <c r="I69">
        <v>0</v>
      </c>
      <c r="J69" s="1">
        <v>30</v>
      </c>
      <c r="K69" t="s">
        <v>2068</v>
      </c>
      <c r="L69" t="s">
        <v>2069</v>
      </c>
      <c r="M69">
        <v>1.2</v>
      </c>
      <c r="N69">
        <v>1</v>
      </c>
      <c r="O69" t="s">
        <v>2076</v>
      </c>
      <c r="P69">
        <v>0.7</v>
      </c>
      <c r="Q69" s="2">
        <v>0.7</v>
      </c>
      <c r="S69" s="5">
        <v>2.33333333333333E-2</v>
      </c>
    </row>
    <row r="70" spans="1:19" x14ac:dyDescent="0.3">
      <c r="A70" t="s">
        <v>202</v>
      </c>
      <c r="B70" t="s">
        <v>203</v>
      </c>
      <c r="C70" t="s">
        <v>76</v>
      </c>
      <c r="D70" t="s">
        <v>80</v>
      </c>
      <c r="E70">
        <v>38</v>
      </c>
      <c r="F70" t="s">
        <v>77</v>
      </c>
      <c r="G70" t="s">
        <v>78</v>
      </c>
      <c r="H70" t="s">
        <v>66</v>
      </c>
      <c r="I70">
        <v>20</v>
      </c>
      <c r="J70" s="1">
        <v>75</v>
      </c>
      <c r="K70" t="s">
        <v>2065</v>
      </c>
      <c r="L70" t="s">
        <v>2066</v>
      </c>
      <c r="M70">
        <v>1.1000000000000001</v>
      </c>
      <c r="N70" t="s">
        <v>67</v>
      </c>
      <c r="O70" t="s">
        <v>2077</v>
      </c>
      <c r="P70">
        <v>0.71</v>
      </c>
      <c r="Q70" s="2">
        <v>0.71</v>
      </c>
      <c r="S70" s="5">
        <v>9.4666666666666701E-3</v>
      </c>
    </row>
    <row r="71" spans="1:19" x14ac:dyDescent="0.3">
      <c r="A71" t="s">
        <v>204</v>
      </c>
      <c r="B71" t="s">
        <v>205</v>
      </c>
      <c r="C71" t="s">
        <v>76</v>
      </c>
      <c r="D71" t="s">
        <v>80</v>
      </c>
      <c r="E71">
        <v>39</v>
      </c>
      <c r="F71" t="s">
        <v>37</v>
      </c>
      <c r="G71" t="s">
        <v>38</v>
      </c>
      <c r="H71" t="s">
        <v>39</v>
      </c>
      <c r="I71">
        <v>20</v>
      </c>
      <c r="J71" s="1">
        <v>100</v>
      </c>
      <c r="K71" t="s">
        <v>2068</v>
      </c>
      <c r="L71" t="s">
        <v>2070</v>
      </c>
      <c r="N71" t="s">
        <v>96</v>
      </c>
      <c r="O71" t="s">
        <v>2076</v>
      </c>
      <c r="P71">
        <v>0.89</v>
      </c>
      <c r="Q71" s="2">
        <v>0.89</v>
      </c>
      <c r="S71" s="5">
        <v>8.8999999999999999E-3</v>
      </c>
    </row>
    <row r="72" spans="1:19" x14ac:dyDescent="0.3">
      <c r="A72" t="s">
        <v>206</v>
      </c>
      <c r="B72" t="s">
        <v>207</v>
      </c>
      <c r="C72" t="s">
        <v>111</v>
      </c>
      <c r="D72" t="s">
        <v>80</v>
      </c>
      <c r="E72">
        <v>43</v>
      </c>
      <c r="F72" t="s">
        <v>104</v>
      </c>
      <c r="G72" t="s">
        <v>105</v>
      </c>
      <c r="H72" t="s">
        <v>108</v>
      </c>
      <c r="I72">
        <v>3</v>
      </c>
      <c r="J72" s="1">
        <v>20</v>
      </c>
      <c r="K72" t="s">
        <v>2072</v>
      </c>
      <c r="M72">
        <v>0</v>
      </c>
      <c r="N72" t="s">
        <v>96</v>
      </c>
      <c r="O72" t="s">
        <v>2076</v>
      </c>
      <c r="P72">
        <v>0.95</v>
      </c>
      <c r="Q72" s="2">
        <v>0.95</v>
      </c>
      <c r="S72" s="5">
        <v>4.7500000000000001E-2</v>
      </c>
    </row>
    <row r="73" spans="1:19" x14ac:dyDescent="0.3">
      <c r="A73" t="s">
        <v>208</v>
      </c>
      <c r="B73" t="s">
        <v>209</v>
      </c>
      <c r="C73" t="s">
        <v>15</v>
      </c>
      <c r="D73" t="s">
        <v>20</v>
      </c>
      <c r="E73">
        <v>58</v>
      </c>
      <c r="F73" t="s">
        <v>188</v>
      </c>
      <c r="G73" t="s">
        <v>189</v>
      </c>
      <c r="H73" t="s">
        <v>108</v>
      </c>
      <c r="I73">
        <v>10</v>
      </c>
      <c r="J73" s="1">
        <v>75</v>
      </c>
      <c r="K73" t="s">
        <v>2066</v>
      </c>
      <c r="M73">
        <v>4.2</v>
      </c>
      <c r="N73" t="s">
        <v>53</v>
      </c>
      <c r="O73" t="s">
        <v>2077</v>
      </c>
      <c r="P73">
        <v>71</v>
      </c>
      <c r="Q73" s="2">
        <v>0.71</v>
      </c>
      <c r="R73">
        <v>0.71</v>
      </c>
      <c r="S73" s="5">
        <v>9.4666666666666701E-3</v>
      </c>
    </row>
    <row r="74" spans="1:19" x14ac:dyDescent="0.3">
      <c r="A74" t="s">
        <v>210</v>
      </c>
      <c r="B74" t="s">
        <v>211</v>
      </c>
      <c r="C74" t="s">
        <v>36</v>
      </c>
      <c r="D74" t="s">
        <v>20</v>
      </c>
      <c r="E74">
        <v>44</v>
      </c>
      <c r="F74" t="s">
        <v>101</v>
      </c>
      <c r="G74" t="s">
        <v>59</v>
      </c>
      <c r="H74" t="s">
        <v>47</v>
      </c>
      <c r="I74">
        <v>26</v>
      </c>
      <c r="J74" s="1">
        <v>50</v>
      </c>
      <c r="K74" t="s">
        <v>2071</v>
      </c>
      <c r="M74">
        <v>1.6</v>
      </c>
      <c r="P74">
        <v>1</v>
      </c>
      <c r="Q74" s="2">
        <v>1</v>
      </c>
      <c r="S74" s="5">
        <v>0.02</v>
      </c>
    </row>
    <row r="75" spans="1:19" x14ac:dyDescent="0.3">
      <c r="A75" t="s">
        <v>212</v>
      </c>
      <c r="B75" t="s">
        <v>213</v>
      </c>
      <c r="C75" t="s">
        <v>15</v>
      </c>
      <c r="D75" t="s">
        <v>20</v>
      </c>
      <c r="E75">
        <v>34</v>
      </c>
      <c r="F75" t="s">
        <v>101</v>
      </c>
      <c r="G75" t="s">
        <v>59</v>
      </c>
      <c r="H75" t="s">
        <v>66</v>
      </c>
      <c r="I75">
        <v>6</v>
      </c>
      <c r="J75" s="1">
        <v>50</v>
      </c>
      <c r="K75" t="s">
        <v>2071</v>
      </c>
      <c r="M75">
        <v>5</v>
      </c>
      <c r="N75" t="s">
        <v>96</v>
      </c>
      <c r="O75" t="s">
        <v>2076</v>
      </c>
      <c r="P75">
        <v>0.92</v>
      </c>
      <c r="Q75" s="2">
        <v>0.92</v>
      </c>
      <c r="S75" s="5">
        <v>1.84E-2</v>
      </c>
    </row>
    <row r="76" spans="1:19" x14ac:dyDescent="0.3">
      <c r="A76" t="s">
        <v>214</v>
      </c>
      <c r="B76" t="s">
        <v>215</v>
      </c>
      <c r="C76" t="s">
        <v>36</v>
      </c>
      <c r="D76" t="s">
        <v>20</v>
      </c>
      <c r="E76">
        <v>52</v>
      </c>
      <c r="F76" t="s">
        <v>139</v>
      </c>
      <c r="G76" t="s">
        <v>59</v>
      </c>
      <c r="H76" t="s">
        <v>66</v>
      </c>
      <c r="I76">
        <v>17</v>
      </c>
      <c r="J76" s="1">
        <v>75</v>
      </c>
      <c r="K76" t="s">
        <v>2068</v>
      </c>
      <c r="L76" t="s">
        <v>2066</v>
      </c>
      <c r="M76">
        <v>0</v>
      </c>
      <c r="N76">
        <v>0</v>
      </c>
      <c r="O76" t="s">
        <v>2077</v>
      </c>
      <c r="P76">
        <v>0.94</v>
      </c>
      <c r="Q76" s="2">
        <v>0.94</v>
      </c>
      <c r="S76" s="5">
        <v>1.2533333333333301E-2</v>
      </c>
    </row>
    <row r="77" spans="1:19" x14ac:dyDescent="0.3">
      <c r="A77" t="s">
        <v>216</v>
      </c>
      <c r="B77" t="s">
        <v>217</v>
      </c>
      <c r="C77" t="s">
        <v>15</v>
      </c>
      <c r="D77" t="s">
        <v>20</v>
      </c>
      <c r="E77">
        <v>60</v>
      </c>
      <c r="F77" t="s">
        <v>37</v>
      </c>
      <c r="G77" t="s">
        <v>38</v>
      </c>
      <c r="H77" t="s">
        <v>33</v>
      </c>
      <c r="I77">
        <v>6</v>
      </c>
      <c r="M77">
        <v>3.2</v>
      </c>
      <c r="N77">
        <v>0</v>
      </c>
      <c r="O77" t="s">
        <v>2077</v>
      </c>
      <c r="P77">
        <v>95</v>
      </c>
      <c r="Q77" s="2">
        <v>0.95</v>
      </c>
      <c r="R77">
        <v>0.95</v>
      </c>
    </row>
    <row r="78" spans="1:19" x14ac:dyDescent="0.3">
      <c r="A78" t="s">
        <v>218</v>
      </c>
      <c r="B78" t="s">
        <v>219</v>
      </c>
      <c r="C78" t="s">
        <v>15</v>
      </c>
      <c r="D78" t="s">
        <v>20</v>
      </c>
      <c r="E78">
        <v>46</v>
      </c>
      <c r="F78" t="s">
        <v>91</v>
      </c>
      <c r="G78" t="s">
        <v>59</v>
      </c>
      <c r="H78" t="s">
        <v>79</v>
      </c>
      <c r="I78">
        <v>20</v>
      </c>
      <c r="J78" s="1">
        <v>20</v>
      </c>
      <c r="K78" t="s">
        <v>2065</v>
      </c>
      <c r="L78" t="s">
        <v>2072</v>
      </c>
      <c r="M78">
        <v>1.2</v>
      </c>
      <c r="N78" t="b">
        <v>0</v>
      </c>
      <c r="O78" t="s">
        <v>2077</v>
      </c>
      <c r="P78">
        <v>0.74</v>
      </c>
      <c r="Q78" s="2">
        <v>0.74</v>
      </c>
      <c r="S78" s="5">
        <v>3.6999999999999998E-2</v>
      </c>
    </row>
    <row r="79" spans="1:19" x14ac:dyDescent="0.3">
      <c r="A79" t="s">
        <v>220</v>
      </c>
      <c r="B79" t="s">
        <v>221</v>
      </c>
      <c r="C79" t="s">
        <v>15</v>
      </c>
      <c r="D79" t="s">
        <v>20</v>
      </c>
      <c r="E79">
        <v>31</v>
      </c>
      <c r="F79" t="s">
        <v>50</v>
      </c>
      <c r="G79" t="s">
        <v>51</v>
      </c>
      <c r="H79" t="s">
        <v>60</v>
      </c>
      <c r="I79">
        <v>0</v>
      </c>
      <c r="J79" s="1">
        <v>20</v>
      </c>
      <c r="K79" t="s">
        <v>2065</v>
      </c>
      <c r="L79" t="s">
        <v>2072</v>
      </c>
      <c r="M79">
        <v>4.2</v>
      </c>
      <c r="N79" t="s">
        <v>96</v>
      </c>
      <c r="O79" t="s">
        <v>2076</v>
      </c>
      <c r="P79">
        <v>82</v>
      </c>
      <c r="Q79" s="2">
        <v>0.82</v>
      </c>
      <c r="R79">
        <v>0.82</v>
      </c>
      <c r="S79" s="5">
        <v>4.1000000000000002E-2</v>
      </c>
    </row>
    <row r="80" spans="1:19" x14ac:dyDescent="0.3">
      <c r="A80" t="s">
        <v>222</v>
      </c>
      <c r="B80" t="s">
        <v>223</v>
      </c>
      <c r="C80" t="s">
        <v>36</v>
      </c>
      <c r="D80" t="s">
        <v>20</v>
      </c>
      <c r="E80">
        <v>51</v>
      </c>
      <c r="F80" t="s">
        <v>158</v>
      </c>
      <c r="G80" t="s">
        <v>159</v>
      </c>
      <c r="H80" t="s">
        <v>18</v>
      </c>
      <c r="I80">
        <v>17</v>
      </c>
      <c r="J80" s="1">
        <v>40</v>
      </c>
      <c r="K80" t="s">
        <v>2067</v>
      </c>
      <c r="M80">
        <v>4.5</v>
      </c>
      <c r="N80">
        <v>1</v>
      </c>
      <c r="O80" t="s">
        <v>2076</v>
      </c>
      <c r="P80">
        <v>0.72</v>
      </c>
      <c r="Q80" s="2">
        <v>0.72</v>
      </c>
      <c r="S80" s="5">
        <v>1.7999999999999999E-2</v>
      </c>
    </row>
    <row r="81" spans="1:19" x14ac:dyDescent="0.3">
      <c r="A81" t="s">
        <v>224</v>
      </c>
      <c r="B81" t="s">
        <v>225</v>
      </c>
      <c r="C81" t="s">
        <v>15</v>
      </c>
      <c r="D81" t="s">
        <v>20</v>
      </c>
      <c r="E81">
        <v>60</v>
      </c>
      <c r="F81" t="s">
        <v>46</v>
      </c>
      <c r="G81" t="s">
        <v>17</v>
      </c>
      <c r="H81" t="s">
        <v>60</v>
      </c>
      <c r="I81">
        <v>20</v>
      </c>
      <c r="J81" s="1">
        <v>40</v>
      </c>
      <c r="K81" t="s">
        <v>2067</v>
      </c>
      <c r="M81">
        <v>1.4</v>
      </c>
      <c r="N81" t="s">
        <v>67</v>
      </c>
      <c r="O81" t="s">
        <v>2077</v>
      </c>
      <c r="P81">
        <v>87</v>
      </c>
      <c r="Q81" s="2">
        <v>0.87</v>
      </c>
      <c r="R81">
        <v>0.87</v>
      </c>
      <c r="S81" s="5">
        <v>2.1749999999999999E-2</v>
      </c>
    </row>
    <row r="82" spans="1:19" x14ac:dyDescent="0.3">
      <c r="A82" t="s">
        <v>226</v>
      </c>
      <c r="B82" t="s">
        <v>227</v>
      </c>
      <c r="C82" t="s">
        <v>15</v>
      </c>
      <c r="D82" t="s">
        <v>20</v>
      </c>
      <c r="E82">
        <v>24</v>
      </c>
      <c r="F82" t="s">
        <v>16</v>
      </c>
      <c r="G82" t="s">
        <v>17</v>
      </c>
      <c r="H82" t="s">
        <v>52</v>
      </c>
      <c r="I82">
        <v>3</v>
      </c>
      <c r="J82" s="1">
        <v>75</v>
      </c>
      <c r="K82" t="s">
        <v>2066</v>
      </c>
      <c r="M82">
        <v>2</v>
      </c>
      <c r="N82" t="b">
        <v>0</v>
      </c>
      <c r="O82" t="s">
        <v>2077</v>
      </c>
    </row>
    <row r="83" spans="1:19" x14ac:dyDescent="0.3">
      <c r="A83" t="s">
        <v>228</v>
      </c>
      <c r="B83" t="s">
        <v>229</v>
      </c>
      <c r="C83" t="s">
        <v>15</v>
      </c>
      <c r="D83" t="s">
        <v>20</v>
      </c>
      <c r="E83">
        <v>41</v>
      </c>
      <c r="F83" t="s">
        <v>101</v>
      </c>
      <c r="G83" t="s">
        <v>59</v>
      </c>
      <c r="H83" t="s">
        <v>108</v>
      </c>
      <c r="I83">
        <v>15</v>
      </c>
      <c r="J83" s="1">
        <v>40</v>
      </c>
      <c r="K83" t="s">
        <v>2067</v>
      </c>
      <c r="M83">
        <v>3.4</v>
      </c>
      <c r="N83" t="b">
        <v>0</v>
      </c>
      <c r="O83" t="s">
        <v>2077</v>
      </c>
      <c r="P83">
        <v>1</v>
      </c>
      <c r="Q83" s="2">
        <v>1</v>
      </c>
      <c r="S83" s="5">
        <v>2.5000000000000001E-2</v>
      </c>
    </row>
    <row r="84" spans="1:19" x14ac:dyDescent="0.3">
      <c r="A84" t="s">
        <v>230</v>
      </c>
      <c r="B84" t="s">
        <v>231</v>
      </c>
      <c r="C84" t="s">
        <v>15</v>
      </c>
      <c r="D84" t="s">
        <v>20</v>
      </c>
      <c r="E84">
        <v>46</v>
      </c>
      <c r="F84" t="s">
        <v>155</v>
      </c>
      <c r="G84" t="s">
        <v>17</v>
      </c>
      <c r="H84" t="s">
        <v>79</v>
      </c>
      <c r="I84">
        <v>11</v>
      </c>
      <c r="M84">
        <v>1.8</v>
      </c>
      <c r="N84">
        <v>1</v>
      </c>
      <c r="O84" t="s">
        <v>2076</v>
      </c>
      <c r="P84">
        <v>0.91</v>
      </c>
      <c r="Q84" s="2">
        <v>0.91</v>
      </c>
    </row>
    <row r="85" spans="1:19" x14ac:dyDescent="0.3">
      <c r="A85" t="s">
        <v>232</v>
      </c>
      <c r="B85" t="s">
        <v>233</v>
      </c>
      <c r="C85" t="s">
        <v>15</v>
      </c>
      <c r="D85" t="s">
        <v>20</v>
      </c>
      <c r="E85">
        <v>40</v>
      </c>
      <c r="F85" t="s">
        <v>37</v>
      </c>
      <c r="G85" t="s">
        <v>38</v>
      </c>
      <c r="H85" t="s">
        <v>66</v>
      </c>
      <c r="I85">
        <v>12</v>
      </c>
      <c r="J85" s="1">
        <v>75</v>
      </c>
      <c r="K85" t="s">
        <v>2066</v>
      </c>
      <c r="M85">
        <v>2.6</v>
      </c>
      <c r="N85" t="b">
        <v>0</v>
      </c>
      <c r="O85" t="s">
        <v>2077</v>
      </c>
    </row>
    <row r="86" spans="1:19" x14ac:dyDescent="0.3">
      <c r="A86" t="s">
        <v>234</v>
      </c>
      <c r="B86" t="s">
        <v>235</v>
      </c>
      <c r="C86" t="s">
        <v>76</v>
      </c>
      <c r="D86" t="s">
        <v>80</v>
      </c>
      <c r="E86">
        <v>37</v>
      </c>
      <c r="F86" t="s">
        <v>91</v>
      </c>
      <c r="G86" t="s">
        <v>59</v>
      </c>
      <c r="H86" t="s">
        <v>60</v>
      </c>
      <c r="I86">
        <v>9</v>
      </c>
      <c r="J86" s="1">
        <v>50</v>
      </c>
      <c r="K86" t="s">
        <v>2065</v>
      </c>
      <c r="L86" t="s">
        <v>2071</v>
      </c>
      <c r="N86" t="s">
        <v>19</v>
      </c>
      <c r="O86" t="s">
        <v>2076</v>
      </c>
      <c r="P86">
        <v>84</v>
      </c>
      <c r="Q86" s="2">
        <v>0.84</v>
      </c>
      <c r="R86">
        <v>0.84</v>
      </c>
      <c r="S86" s="5">
        <v>1.6799999999999999E-2</v>
      </c>
    </row>
    <row r="87" spans="1:19" x14ac:dyDescent="0.3">
      <c r="A87" t="s">
        <v>236</v>
      </c>
      <c r="B87" t="s">
        <v>237</v>
      </c>
      <c r="C87" t="s">
        <v>111</v>
      </c>
      <c r="D87" t="s">
        <v>80</v>
      </c>
      <c r="E87">
        <v>56</v>
      </c>
      <c r="F87" t="s">
        <v>155</v>
      </c>
      <c r="G87" t="s">
        <v>17</v>
      </c>
      <c r="H87" t="s">
        <v>108</v>
      </c>
      <c r="I87">
        <v>3</v>
      </c>
      <c r="J87" s="1">
        <v>30</v>
      </c>
      <c r="K87" t="s">
        <v>2065</v>
      </c>
      <c r="L87" t="s">
        <v>2069</v>
      </c>
      <c r="M87">
        <v>3.7</v>
      </c>
      <c r="P87">
        <v>0.83</v>
      </c>
      <c r="Q87" s="2">
        <v>0.83</v>
      </c>
      <c r="S87" s="5">
        <v>2.76666666666667E-2</v>
      </c>
    </row>
    <row r="88" spans="1:19" x14ac:dyDescent="0.3">
      <c r="A88" t="s">
        <v>238</v>
      </c>
      <c r="B88" t="s">
        <v>239</v>
      </c>
      <c r="C88" t="s">
        <v>15</v>
      </c>
      <c r="D88" t="s">
        <v>20</v>
      </c>
      <c r="E88">
        <v>25</v>
      </c>
      <c r="F88" t="s">
        <v>46</v>
      </c>
      <c r="G88" t="s">
        <v>17</v>
      </c>
      <c r="H88" t="s">
        <v>18</v>
      </c>
      <c r="I88">
        <v>5</v>
      </c>
      <c r="J88" s="1">
        <v>30</v>
      </c>
      <c r="K88" t="s">
        <v>2065</v>
      </c>
      <c r="L88" t="s">
        <v>2069</v>
      </c>
      <c r="M88">
        <v>2.2999999999999998</v>
      </c>
      <c r="N88">
        <v>0</v>
      </c>
      <c r="O88" t="s">
        <v>2077</v>
      </c>
      <c r="P88">
        <v>0.91</v>
      </c>
      <c r="Q88" s="2">
        <v>0.91</v>
      </c>
      <c r="S88" s="5">
        <v>3.0333333333333299E-2</v>
      </c>
    </row>
    <row r="89" spans="1:19" x14ac:dyDescent="0.3">
      <c r="A89" t="s">
        <v>240</v>
      </c>
      <c r="B89" t="s">
        <v>241</v>
      </c>
      <c r="C89" t="s">
        <v>76</v>
      </c>
      <c r="D89" t="s">
        <v>80</v>
      </c>
      <c r="E89">
        <v>59</v>
      </c>
      <c r="F89" t="s">
        <v>27</v>
      </c>
      <c r="G89" t="s">
        <v>28</v>
      </c>
      <c r="H89" t="s">
        <v>108</v>
      </c>
      <c r="I89">
        <v>7</v>
      </c>
      <c r="J89" s="1">
        <v>40</v>
      </c>
      <c r="K89" t="s">
        <v>2065</v>
      </c>
      <c r="L89" t="s">
        <v>2067</v>
      </c>
      <c r="M89">
        <v>1.4</v>
      </c>
      <c r="N89" t="b">
        <v>0</v>
      </c>
      <c r="O89" t="s">
        <v>2077</v>
      </c>
      <c r="P89">
        <v>0.81</v>
      </c>
      <c r="Q89" s="2">
        <v>0.81</v>
      </c>
      <c r="S89" s="5">
        <v>2.0250000000000001E-2</v>
      </c>
    </row>
    <row r="90" spans="1:19" x14ac:dyDescent="0.3">
      <c r="A90" t="s">
        <v>242</v>
      </c>
      <c r="B90" t="s">
        <v>243</v>
      </c>
      <c r="C90" t="s">
        <v>76</v>
      </c>
      <c r="D90" t="s">
        <v>80</v>
      </c>
      <c r="E90">
        <v>45</v>
      </c>
      <c r="F90" t="s">
        <v>118</v>
      </c>
      <c r="G90" t="s">
        <v>119</v>
      </c>
      <c r="H90" t="s">
        <v>108</v>
      </c>
      <c r="I90">
        <v>11</v>
      </c>
      <c r="J90" s="1">
        <v>75</v>
      </c>
      <c r="K90" t="s">
        <v>2068</v>
      </c>
      <c r="L90" t="s">
        <v>2066</v>
      </c>
      <c r="M90">
        <v>4</v>
      </c>
      <c r="N90" t="s">
        <v>53</v>
      </c>
      <c r="O90" t="s">
        <v>2077</v>
      </c>
      <c r="P90">
        <v>1</v>
      </c>
      <c r="Q90" s="2">
        <v>1</v>
      </c>
      <c r="S90" s="5">
        <v>1.3333333333333299E-2</v>
      </c>
    </row>
    <row r="91" spans="1:19" x14ac:dyDescent="0.3">
      <c r="A91" t="s">
        <v>244</v>
      </c>
      <c r="B91" t="s">
        <v>245</v>
      </c>
      <c r="C91" t="s">
        <v>76</v>
      </c>
      <c r="D91" t="s">
        <v>80</v>
      </c>
      <c r="E91">
        <v>30</v>
      </c>
      <c r="F91" t="s">
        <v>188</v>
      </c>
      <c r="G91" t="s">
        <v>189</v>
      </c>
      <c r="H91" t="s">
        <v>66</v>
      </c>
      <c r="I91">
        <v>7</v>
      </c>
      <c r="J91" s="1">
        <v>30</v>
      </c>
      <c r="K91" t="s">
        <v>2069</v>
      </c>
      <c r="M91">
        <v>3.3</v>
      </c>
      <c r="P91">
        <v>0.68</v>
      </c>
      <c r="Q91" s="2">
        <v>0.68</v>
      </c>
      <c r="S91" s="5">
        <v>2.26666666666667E-2</v>
      </c>
    </row>
    <row r="92" spans="1:19" x14ac:dyDescent="0.3">
      <c r="A92" t="s">
        <v>246</v>
      </c>
      <c r="B92" t="s">
        <v>247</v>
      </c>
      <c r="C92" t="s">
        <v>76</v>
      </c>
      <c r="D92" t="s">
        <v>80</v>
      </c>
      <c r="E92">
        <v>47</v>
      </c>
      <c r="F92" t="s">
        <v>155</v>
      </c>
      <c r="G92" t="s">
        <v>17</v>
      </c>
      <c r="H92" t="s">
        <v>108</v>
      </c>
      <c r="I92">
        <v>29</v>
      </c>
      <c r="J92" s="1">
        <v>50</v>
      </c>
      <c r="K92" t="s">
        <v>2065</v>
      </c>
      <c r="L92" t="s">
        <v>2071</v>
      </c>
      <c r="N92">
        <v>1</v>
      </c>
      <c r="O92" t="s">
        <v>2076</v>
      </c>
      <c r="P92">
        <v>0.79</v>
      </c>
      <c r="Q92" s="2">
        <v>0.79</v>
      </c>
      <c r="S92" s="5">
        <v>1.5800000000000002E-2</v>
      </c>
    </row>
    <row r="93" spans="1:19" x14ac:dyDescent="0.3">
      <c r="A93" t="s">
        <v>248</v>
      </c>
      <c r="B93" t="s">
        <v>249</v>
      </c>
      <c r="C93" t="s">
        <v>76</v>
      </c>
      <c r="D93" t="s">
        <v>80</v>
      </c>
      <c r="E93">
        <v>36</v>
      </c>
      <c r="F93" t="s">
        <v>46</v>
      </c>
      <c r="G93" t="s">
        <v>17</v>
      </c>
      <c r="H93" t="s">
        <v>63</v>
      </c>
      <c r="I93">
        <v>8</v>
      </c>
      <c r="J93" s="1">
        <v>100</v>
      </c>
      <c r="K93" t="s">
        <v>2070</v>
      </c>
      <c r="M93">
        <v>1.7</v>
      </c>
      <c r="N93" t="s">
        <v>53</v>
      </c>
      <c r="O93" t="s">
        <v>2077</v>
      </c>
      <c r="P93">
        <v>0.68</v>
      </c>
      <c r="Q93" s="2">
        <v>0.68</v>
      </c>
      <c r="S93" s="5">
        <v>6.7999999999999996E-3</v>
      </c>
    </row>
    <row r="94" spans="1:19" x14ac:dyDescent="0.3">
      <c r="A94" t="s">
        <v>250</v>
      </c>
      <c r="B94" t="s">
        <v>251</v>
      </c>
      <c r="C94" t="s">
        <v>76</v>
      </c>
      <c r="D94" t="s">
        <v>80</v>
      </c>
      <c r="E94">
        <v>48</v>
      </c>
      <c r="F94" t="s">
        <v>158</v>
      </c>
      <c r="G94" t="s">
        <v>159</v>
      </c>
      <c r="H94" t="s">
        <v>33</v>
      </c>
      <c r="I94">
        <v>2</v>
      </c>
      <c r="J94" s="1">
        <v>75</v>
      </c>
      <c r="K94" t="s">
        <v>2066</v>
      </c>
      <c r="M94">
        <v>1.6</v>
      </c>
      <c r="N94" t="s">
        <v>53</v>
      </c>
      <c r="O94" t="s">
        <v>2077</v>
      </c>
      <c r="P94">
        <v>0.67</v>
      </c>
      <c r="Q94" s="2">
        <v>0.67</v>
      </c>
      <c r="S94" s="5">
        <v>8.9333333333333296E-3</v>
      </c>
    </row>
    <row r="95" spans="1:19" x14ac:dyDescent="0.3">
      <c r="A95" t="s">
        <v>252</v>
      </c>
      <c r="B95" t="s">
        <v>253</v>
      </c>
      <c r="C95" t="s">
        <v>15</v>
      </c>
      <c r="D95" t="s">
        <v>20</v>
      </c>
      <c r="F95" t="s">
        <v>254</v>
      </c>
      <c r="G95" t="s">
        <v>255</v>
      </c>
      <c r="H95" t="s">
        <v>63</v>
      </c>
      <c r="I95">
        <v>11</v>
      </c>
      <c r="J95" s="1">
        <v>100</v>
      </c>
      <c r="K95" t="s">
        <v>2068</v>
      </c>
      <c r="L95" t="s">
        <v>2070</v>
      </c>
      <c r="M95">
        <v>2.5</v>
      </c>
      <c r="N95" t="s">
        <v>19</v>
      </c>
      <c r="O95" t="s">
        <v>2076</v>
      </c>
      <c r="P95">
        <v>80</v>
      </c>
      <c r="Q95" s="2">
        <v>0.8</v>
      </c>
      <c r="R95">
        <v>0.8</v>
      </c>
      <c r="S95" s="5">
        <v>8.0000000000000002E-3</v>
      </c>
    </row>
    <row r="96" spans="1:19" x14ac:dyDescent="0.3">
      <c r="A96" t="s">
        <v>256</v>
      </c>
      <c r="B96" t="s">
        <v>257</v>
      </c>
      <c r="C96" t="s">
        <v>15</v>
      </c>
      <c r="D96" t="s">
        <v>20</v>
      </c>
      <c r="E96">
        <v>59</v>
      </c>
      <c r="F96" t="s">
        <v>42</v>
      </c>
      <c r="G96" t="s">
        <v>43</v>
      </c>
      <c r="H96" t="s">
        <v>108</v>
      </c>
      <c r="I96">
        <v>30</v>
      </c>
      <c r="J96" s="1">
        <v>40</v>
      </c>
      <c r="K96" t="s">
        <v>2065</v>
      </c>
      <c r="L96" t="s">
        <v>2067</v>
      </c>
      <c r="M96">
        <v>0</v>
      </c>
      <c r="N96" t="b">
        <v>1</v>
      </c>
      <c r="O96" t="s">
        <v>2076</v>
      </c>
    </row>
    <row r="97" spans="1:19" x14ac:dyDescent="0.3">
      <c r="A97" t="s">
        <v>258</v>
      </c>
      <c r="B97" t="s">
        <v>259</v>
      </c>
      <c r="C97" t="s">
        <v>15</v>
      </c>
      <c r="D97" t="s">
        <v>20</v>
      </c>
      <c r="E97">
        <v>30</v>
      </c>
      <c r="F97" t="s">
        <v>118</v>
      </c>
      <c r="G97" t="s">
        <v>119</v>
      </c>
      <c r="H97" t="s">
        <v>52</v>
      </c>
      <c r="I97">
        <v>10</v>
      </c>
      <c r="J97" s="1">
        <v>100</v>
      </c>
      <c r="K97" t="s">
        <v>2065</v>
      </c>
      <c r="L97" t="s">
        <v>2070</v>
      </c>
      <c r="M97">
        <v>1.7</v>
      </c>
      <c r="N97" t="s">
        <v>19</v>
      </c>
      <c r="O97" t="s">
        <v>2076</v>
      </c>
      <c r="P97">
        <v>0.64</v>
      </c>
      <c r="Q97" s="2">
        <v>0.64</v>
      </c>
      <c r="S97" s="5">
        <v>6.4000000000000003E-3</v>
      </c>
    </row>
    <row r="98" spans="1:19" x14ac:dyDescent="0.3">
      <c r="A98" t="s">
        <v>260</v>
      </c>
      <c r="B98" t="s">
        <v>261</v>
      </c>
      <c r="C98" t="s">
        <v>111</v>
      </c>
      <c r="D98" t="s">
        <v>80</v>
      </c>
      <c r="E98">
        <v>53</v>
      </c>
      <c r="F98" t="s">
        <v>104</v>
      </c>
      <c r="G98" t="s">
        <v>105</v>
      </c>
      <c r="H98" t="s">
        <v>47</v>
      </c>
      <c r="I98">
        <v>13</v>
      </c>
      <c r="J98" s="1">
        <v>50</v>
      </c>
      <c r="K98" t="s">
        <v>2065</v>
      </c>
      <c r="L98" t="s">
        <v>2071</v>
      </c>
      <c r="M98">
        <v>3.3</v>
      </c>
      <c r="N98" t="s">
        <v>96</v>
      </c>
      <c r="O98" t="s">
        <v>2076</v>
      </c>
      <c r="P98">
        <v>0.93</v>
      </c>
      <c r="Q98" s="2">
        <v>0.93</v>
      </c>
      <c r="S98" s="5">
        <v>1.8599999999999998E-2</v>
      </c>
    </row>
    <row r="99" spans="1:19" x14ac:dyDescent="0.3">
      <c r="A99" t="s">
        <v>262</v>
      </c>
      <c r="B99" t="s">
        <v>263</v>
      </c>
      <c r="C99" t="s">
        <v>76</v>
      </c>
      <c r="D99" t="s">
        <v>80</v>
      </c>
      <c r="E99">
        <v>51</v>
      </c>
      <c r="F99" t="s">
        <v>188</v>
      </c>
      <c r="G99" t="s">
        <v>189</v>
      </c>
      <c r="H99" t="s">
        <v>66</v>
      </c>
      <c r="I99">
        <v>28</v>
      </c>
      <c r="J99" s="1">
        <v>40</v>
      </c>
      <c r="K99" t="s">
        <v>2067</v>
      </c>
      <c r="M99">
        <v>3.9</v>
      </c>
      <c r="N99">
        <v>0</v>
      </c>
      <c r="O99" t="s">
        <v>2077</v>
      </c>
      <c r="P99">
        <v>0.63</v>
      </c>
      <c r="Q99" s="2">
        <v>0.63</v>
      </c>
      <c r="S99" s="5">
        <v>1.575E-2</v>
      </c>
    </row>
    <row r="100" spans="1:19" x14ac:dyDescent="0.3">
      <c r="A100" t="s">
        <v>264</v>
      </c>
      <c r="B100" t="s">
        <v>265</v>
      </c>
      <c r="C100" t="s">
        <v>76</v>
      </c>
      <c r="D100" t="s">
        <v>80</v>
      </c>
      <c r="E100">
        <v>39</v>
      </c>
      <c r="F100" t="s">
        <v>77</v>
      </c>
      <c r="G100" t="s">
        <v>78</v>
      </c>
      <c r="H100" t="s">
        <v>39</v>
      </c>
      <c r="I100">
        <v>21</v>
      </c>
      <c r="J100" s="1">
        <v>100</v>
      </c>
      <c r="K100" t="s">
        <v>2070</v>
      </c>
      <c r="M100">
        <v>0</v>
      </c>
      <c r="N100" t="s">
        <v>67</v>
      </c>
      <c r="O100" t="s">
        <v>2077</v>
      </c>
      <c r="P100">
        <v>0.91</v>
      </c>
      <c r="Q100" s="2">
        <v>0.91</v>
      </c>
      <c r="S100" s="5">
        <v>9.1000000000000004E-3</v>
      </c>
    </row>
    <row r="101" spans="1:19" x14ac:dyDescent="0.3">
      <c r="A101" t="s">
        <v>266</v>
      </c>
      <c r="B101" t="s">
        <v>267</v>
      </c>
      <c r="C101" t="s">
        <v>15</v>
      </c>
      <c r="D101" t="s">
        <v>20</v>
      </c>
      <c r="E101">
        <v>25</v>
      </c>
      <c r="F101" t="s">
        <v>27</v>
      </c>
      <c r="G101" t="s">
        <v>28</v>
      </c>
      <c r="H101" t="s">
        <v>63</v>
      </c>
      <c r="I101">
        <v>4</v>
      </c>
      <c r="J101" s="1">
        <v>40</v>
      </c>
      <c r="K101" t="s">
        <v>2065</v>
      </c>
      <c r="L101" t="s">
        <v>2067</v>
      </c>
      <c r="M101">
        <v>2.2999999999999998</v>
      </c>
      <c r="N101" t="s">
        <v>19</v>
      </c>
      <c r="O101" t="s">
        <v>2076</v>
      </c>
      <c r="P101">
        <v>73</v>
      </c>
      <c r="Q101" s="2">
        <v>0.73</v>
      </c>
      <c r="R101">
        <v>0.73</v>
      </c>
      <c r="S101" s="5">
        <v>1.8249999999999999E-2</v>
      </c>
    </row>
    <row r="102" spans="1:19" x14ac:dyDescent="0.3">
      <c r="A102" t="s">
        <v>268</v>
      </c>
      <c r="B102" t="s">
        <v>269</v>
      </c>
      <c r="C102" t="s">
        <v>36</v>
      </c>
      <c r="D102" t="s">
        <v>20</v>
      </c>
      <c r="E102">
        <v>45</v>
      </c>
      <c r="F102" t="s">
        <v>158</v>
      </c>
      <c r="G102" t="s">
        <v>159</v>
      </c>
      <c r="H102" t="s">
        <v>33</v>
      </c>
      <c r="I102">
        <v>6</v>
      </c>
      <c r="J102" s="1">
        <v>50</v>
      </c>
      <c r="K102" t="s">
        <v>2071</v>
      </c>
      <c r="M102">
        <v>1.4</v>
      </c>
      <c r="P102">
        <v>97</v>
      </c>
      <c r="Q102" s="2">
        <v>0.97</v>
      </c>
      <c r="R102">
        <v>0.97</v>
      </c>
      <c r="S102" s="5">
        <v>1.9400000000000001E-2</v>
      </c>
    </row>
    <row r="103" spans="1:19" x14ac:dyDescent="0.3">
      <c r="A103" t="s">
        <v>270</v>
      </c>
      <c r="B103" t="s">
        <v>271</v>
      </c>
      <c r="C103" t="s">
        <v>111</v>
      </c>
      <c r="D103" t="s">
        <v>80</v>
      </c>
      <c r="F103" t="s">
        <v>104</v>
      </c>
      <c r="G103" t="s">
        <v>105</v>
      </c>
      <c r="H103" t="s">
        <v>52</v>
      </c>
      <c r="I103">
        <v>6</v>
      </c>
      <c r="J103" s="1">
        <v>40</v>
      </c>
      <c r="K103" t="s">
        <v>2067</v>
      </c>
      <c r="M103">
        <v>3.5</v>
      </c>
      <c r="N103">
        <v>0</v>
      </c>
      <c r="O103" t="s">
        <v>2077</v>
      </c>
      <c r="P103">
        <v>0.76</v>
      </c>
      <c r="Q103" s="2">
        <v>0.76</v>
      </c>
      <c r="S103" s="5">
        <v>1.9E-2</v>
      </c>
    </row>
    <row r="104" spans="1:19" x14ac:dyDescent="0.3">
      <c r="A104" t="s">
        <v>272</v>
      </c>
      <c r="B104" t="s">
        <v>273</v>
      </c>
      <c r="C104" t="s">
        <v>111</v>
      </c>
      <c r="D104" t="s">
        <v>80</v>
      </c>
      <c r="E104">
        <v>48</v>
      </c>
      <c r="F104" t="s">
        <v>91</v>
      </c>
      <c r="G104" t="s">
        <v>59</v>
      </c>
      <c r="H104" t="s">
        <v>60</v>
      </c>
      <c r="I104">
        <v>24</v>
      </c>
      <c r="J104" s="1">
        <v>100</v>
      </c>
      <c r="K104" t="s">
        <v>2070</v>
      </c>
      <c r="M104">
        <v>4.8</v>
      </c>
      <c r="N104">
        <v>1</v>
      </c>
      <c r="O104" t="s">
        <v>2076</v>
      </c>
      <c r="P104">
        <v>0.84</v>
      </c>
      <c r="Q104" s="2">
        <v>0.84</v>
      </c>
      <c r="S104" s="5">
        <v>8.3999999999999995E-3</v>
      </c>
    </row>
    <row r="105" spans="1:19" x14ac:dyDescent="0.3">
      <c r="A105" t="s">
        <v>274</v>
      </c>
      <c r="B105" t="s">
        <v>275</v>
      </c>
      <c r="C105" t="s">
        <v>76</v>
      </c>
      <c r="D105" t="s">
        <v>80</v>
      </c>
      <c r="E105">
        <v>39</v>
      </c>
      <c r="F105" t="s">
        <v>16</v>
      </c>
      <c r="G105" t="s">
        <v>17</v>
      </c>
      <c r="H105" t="s">
        <v>52</v>
      </c>
      <c r="I105">
        <v>15</v>
      </c>
      <c r="J105" s="1">
        <v>50</v>
      </c>
      <c r="K105" t="s">
        <v>2071</v>
      </c>
      <c r="N105">
        <v>0</v>
      </c>
      <c r="O105" t="s">
        <v>2077</v>
      </c>
      <c r="P105">
        <v>0.8</v>
      </c>
      <c r="Q105" s="2">
        <v>0.8</v>
      </c>
      <c r="S105" s="5">
        <v>1.6E-2</v>
      </c>
    </row>
    <row r="106" spans="1:19" x14ac:dyDescent="0.3">
      <c r="A106" t="s">
        <v>276</v>
      </c>
      <c r="B106" t="s">
        <v>277</v>
      </c>
      <c r="C106" t="s">
        <v>111</v>
      </c>
      <c r="D106" t="s">
        <v>80</v>
      </c>
      <c r="E106">
        <v>49</v>
      </c>
      <c r="F106" t="s">
        <v>16</v>
      </c>
      <c r="G106" t="s">
        <v>17</v>
      </c>
      <c r="H106" t="s">
        <v>60</v>
      </c>
      <c r="I106">
        <v>25</v>
      </c>
      <c r="J106" s="1">
        <v>50</v>
      </c>
      <c r="K106" t="s">
        <v>2071</v>
      </c>
      <c r="M106">
        <v>5</v>
      </c>
      <c r="N106" t="s">
        <v>53</v>
      </c>
      <c r="O106" t="s">
        <v>2077</v>
      </c>
      <c r="P106">
        <v>0.77</v>
      </c>
      <c r="Q106" s="2">
        <v>0.77</v>
      </c>
      <c r="S106" s="5">
        <v>1.54E-2</v>
      </c>
    </row>
    <row r="107" spans="1:19" x14ac:dyDescent="0.3">
      <c r="A107" t="s">
        <v>278</v>
      </c>
      <c r="B107" t="s">
        <v>279</v>
      </c>
      <c r="C107" t="s">
        <v>76</v>
      </c>
      <c r="D107" t="s">
        <v>80</v>
      </c>
      <c r="E107">
        <v>20</v>
      </c>
      <c r="F107" t="s">
        <v>139</v>
      </c>
      <c r="G107" t="s">
        <v>59</v>
      </c>
      <c r="H107" t="s">
        <v>79</v>
      </c>
      <c r="I107">
        <v>1</v>
      </c>
      <c r="M107">
        <v>2.7</v>
      </c>
      <c r="N107">
        <v>0</v>
      </c>
      <c r="O107" t="s">
        <v>2077</v>
      </c>
      <c r="P107">
        <v>94</v>
      </c>
      <c r="Q107" s="2">
        <v>0.94</v>
      </c>
      <c r="R107">
        <v>0.94</v>
      </c>
    </row>
    <row r="108" spans="1:19" x14ac:dyDescent="0.3">
      <c r="A108" t="s">
        <v>280</v>
      </c>
      <c r="B108" t="s">
        <v>281</v>
      </c>
      <c r="C108" t="s">
        <v>15</v>
      </c>
      <c r="D108" t="s">
        <v>20</v>
      </c>
      <c r="E108">
        <v>48</v>
      </c>
      <c r="F108" t="s">
        <v>91</v>
      </c>
      <c r="G108" t="s">
        <v>59</v>
      </c>
      <c r="H108" t="s">
        <v>33</v>
      </c>
      <c r="I108">
        <v>18</v>
      </c>
      <c r="J108" s="1">
        <v>40</v>
      </c>
      <c r="K108" t="s">
        <v>2065</v>
      </c>
      <c r="L108" t="s">
        <v>2067</v>
      </c>
      <c r="M108">
        <v>3.9</v>
      </c>
    </row>
    <row r="109" spans="1:19" x14ac:dyDescent="0.3">
      <c r="A109" t="s">
        <v>282</v>
      </c>
      <c r="B109" t="s">
        <v>283</v>
      </c>
      <c r="C109" t="s">
        <v>76</v>
      </c>
      <c r="D109" t="s">
        <v>80</v>
      </c>
      <c r="F109" t="s">
        <v>104</v>
      </c>
      <c r="G109" t="s">
        <v>105</v>
      </c>
      <c r="H109" t="s">
        <v>52</v>
      </c>
      <c r="I109">
        <v>11</v>
      </c>
      <c r="J109" s="1">
        <v>20</v>
      </c>
      <c r="K109" t="s">
        <v>2065</v>
      </c>
      <c r="L109" t="s">
        <v>2072</v>
      </c>
      <c r="M109">
        <v>3.6</v>
      </c>
      <c r="N109" t="s">
        <v>67</v>
      </c>
      <c r="O109" t="s">
        <v>2077</v>
      </c>
      <c r="P109">
        <v>0.69</v>
      </c>
      <c r="Q109" s="2">
        <v>0.69</v>
      </c>
      <c r="S109" s="5">
        <v>3.4500000000000003E-2</v>
      </c>
    </row>
    <row r="110" spans="1:19" x14ac:dyDescent="0.3">
      <c r="A110" t="s">
        <v>284</v>
      </c>
      <c r="B110" t="s">
        <v>285</v>
      </c>
      <c r="C110" t="s">
        <v>15</v>
      </c>
      <c r="D110" t="s">
        <v>20</v>
      </c>
      <c r="E110">
        <v>41</v>
      </c>
      <c r="F110" t="s">
        <v>77</v>
      </c>
      <c r="G110" t="s">
        <v>78</v>
      </c>
      <c r="H110" t="s">
        <v>33</v>
      </c>
      <c r="I110">
        <v>22</v>
      </c>
      <c r="J110" s="1">
        <v>50</v>
      </c>
      <c r="K110" t="s">
        <v>2068</v>
      </c>
      <c r="L110" t="s">
        <v>2071</v>
      </c>
      <c r="M110">
        <v>1.6</v>
      </c>
      <c r="N110">
        <v>1</v>
      </c>
      <c r="O110" t="s">
        <v>2076</v>
      </c>
      <c r="P110">
        <v>0.61</v>
      </c>
      <c r="Q110" s="2">
        <v>0.61</v>
      </c>
      <c r="S110" s="5">
        <v>1.2200000000000001E-2</v>
      </c>
    </row>
    <row r="111" spans="1:19" x14ac:dyDescent="0.3">
      <c r="A111" t="s">
        <v>286</v>
      </c>
      <c r="B111" t="s">
        <v>287</v>
      </c>
      <c r="C111" t="s">
        <v>36</v>
      </c>
      <c r="D111" t="s">
        <v>20</v>
      </c>
      <c r="E111">
        <v>51</v>
      </c>
      <c r="F111" t="s">
        <v>37</v>
      </c>
      <c r="G111" t="s">
        <v>38</v>
      </c>
      <c r="H111" t="s">
        <v>63</v>
      </c>
      <c r="I111">
        <v>11</v>
      </c>
      <c r="J111" s="1">
        <v>30</v>
      </c>
      <c r="K111" t="s">
        <v>2068</v>
      </c>
      <c r="L111" t="s">
        <v>2069</v>
      </c>
      <c r="M111">
        <v>3.6</v>
      </c>
      <c r="N111" t="s">
        <v>96</v>
      </c>
      <c r="O111" t="s">
        <v>2076</v>
      </c>
      <c r="P111">
        <v>0.77</v>
      </c>
      <c r="Q111" s="2">
        <v>0.77</v>
      </c>
      <c r="S111" s="5">
        <v>2.5666666666666699E-2</v>
      </c>
    </row>
    <row r="112" spans="1:19" x14ac:dyDescent="0.3">
      <c r="A112" t="s">
        <v>288</v>
      </c>
      <c r="B112" t="s">
        <v>289</v>
      </c>
      <c r="C112" t="s">
        <v>15</v>
      </c>
      <c r="D112" t="s">
        <v>20</v>
      </c>
      <c r="E112">
        <v>41</v>
      </c>
      <c r="F112" t="s">
        <v>58</v>
      </c>
      <c r="G112" t="s">
        <v>59</v>
      </c>
      <c r="H112" t="s">
        <v>66</v>
      </c>
      <c r="I112">
        <v>8</v>
      </c>
      <c r="J112" s="1">
        <v>50</v>
      </c>
      <c r="K112" t="s">
        <v>2071</v>
      </c>
      <c r="M112">
        <v>4.8</v>
      </c>
      <c r="N112" t="s">
        <v>53</v>
      </c>
      <c r="O112" t="s">
        <v>2077</v>
      </c>
      <c r="P112">
        <v>0.75</v>
      </c>
      <c r="Q112" s="2">
        <v>0.75</v>
      </c>
      <c r="S112" s="5">
        <v>1.4999999999999999E-2</v>
      </c>
    </row>
    <row r="113" spans="1:19" x14ac:dyDescent="0.3">
      <c r="A113" t="s">
        <v>290</v>
      </c>
      <c r="B113" t="s">
        <v>291</v>
      </c>
      <c r="C113" t="s">
        <v>15</v>
      </c>
      <c r="D113" t="s">
        <v>20</v>
      </c>
      <c r="E113">
        <v>35</v>
      </c>
      <c r="F113" t="s">
        <v>139</v>
      </c>
      <c r="G113" t="s">
        <v>59</v>
      </c>
      <c r="H113" t="s">
        <v>66</v>
      </c>
      <c r="J113" s="1">
        <v>100</v>
      </c>
      <c r="K113" t="s">
        <v>2070</v>
      </c>
      <c r="M113">
        <v>3.5</v>
      </c>
      <c r="N113" t="s">
        <v>96</v>
      </c>
      <c r="O113" t="s">
        <v>2076</v>
      </c>
      <c r="P113">
        <v>0.71</v>
      </c>
      <c r="Q113" s="2">
        <v>0.71</v>
      </c>
      <c r="S113" s="5">
        <v>7.1000000000000004E-3</v>
      </c>
    </row>
    <row r="114" spans="1:19" x14ac:dyDescent="0.3">
      <c r="A114" t="s">
        <v>292</v>
      </c>
      <c r="B114" t="s">
        <v>293</v>
      </c>
      <c r="C114" t="s">
        <v>36</v>
      </c>
      <c r="D114" t="s">
        <v>20</v>
      </c>
      <c r="E114">
        <v>60</v>
      </c>
      <c r="F114" t="s">
        <v>16</v>
      </c>
      <c r="G114" t="s">
        <v>17</v>
      </c>
      <c r="H114" t="s">
        <v>18</v>
      </c>
      <c r="I114">
        <v>39</v>
      </c>
      <c r="J114" s="1">
        <v>20</v>
      </c>
      <c r="K114" t="s">
        <v>2072</v>
      </c>
      <c r="M114">
        <v>1.4</v>
      </c>
      <c r="N114" t="b">
        <v>1</v>
      </c>
      <c r="O114" t="s">
        <v>2076</v>
      </c>
      <c r="P114">
        <v>0.86</v>
      </c>
      <c r="Q114" s="2">
        <v>0.86</v>
      </c>
      <c r="S114" s="5">
        <v>4.2999999999999997E-2</v>
      </c>
    </row>
    <row r="115" spans="1:19" x14ac:dyDescent="0.3">
      <c r="A115" t="s">
        <v>294</v>
      </c>
      <c r="B115" t="s">
        <v>295</v>
      </c>
      <c r="C115" t="s">
        <v>76</v>
      </c>
      <c r="D115" t="s">
        <v>80</v>
      </c>
      <c r="E115">
        <v>50</v>
      </c>
      <c r="F115" t="s">
        <v>188</v>
      </c>
      <c r="G115" t="s">
        <v>189</v>
      </c>
      <c r="H115" t="s">
        <v>79</v>
      </c>
      <c r="I115">
        <v>20</v>
      </c>
      <c r="J115" s="1">
        <v>40</v>
      </c>
      <c r="K115" t="s">
        <v>2068</v>
      </c>
      <c r="L115" t="s">
        <v>2067</v>
      </c>
      <c r="M115">
        <v>3.6</v>
      </c>
      <c r="N115">
        <v>1</v>
      </c>
      <c r="O115" t="s">
        <v>2076</v>
      </c>
      <c r="P115">
        <v>0.89</v>
      </c>
      <c r="Q115" s="2">
        <v>0.89</v>
      </c>
      <c r="S115" s="5">
        <v>2.2249999999999999E-2</v>
      </c>
    </row>
    <row r="116" spans="1:19" x14ac:dyDescent="0.3">
      <c r="A116" t="s">
        <v>296</v>
      </c>
      <c r="B116" t="s">
        <v>297</v>
      </c>
      <c r="C116" t="s">
        <v>36</v>
      </c>
      <c r="D116" t="s">
        <v>20</v>
      </c>
      <c r="E116">
        <v>41</v>
      </c>
      <c r="F116" t="s">
        <v>16</v>
      </c>
      <c r="G116" t="s">
        <v>17</v>
      </c>
      <c r="H116" t="s">
        <v>47</v>
      </c>
      <c r="I116">
        <v>21</v>
      </c>
      <c r="J116" s="1">
        <v>50</v>
      </c>
      <c r="K116" t="s">
        <v>2071</v>
      </c>
      <c r="M116">
        <v>3.3</v>
      </c>
      <c r="N116" t="s">
        <v>96</v>
      </c>
      <c r="O116" t="s">
        <v>2076</v>
      </c>
      <c r="P116">
        <v>0.65</v>
      </c>
      <c r="Q116" s="2">
        <v>0.65</v>
      </c>
      <c r="S116" s="5">
        <v>1.2999999999999999E-2</v>
      </c>
    </row>
    <row r="117" spans="1:19" x14ac:dyDescent="0.3">
      <c r="A117" t="s">
        <v>298</v>
      </c>
      <c r="B117" t="s">
        <v>299</v>
      </c>
      <c r="C117" t="s">
        <v>36</v>
      </c>
      <c r="D117" t="s">
        <v>20</v>
      </c>
      <c r="E117">
        <v>31</v>
      </c>
      <c r="F117" t="s">
        <v>101</v>
      </c>
      <c r="G117" t="s">
        <v>59</v>
      </c>
      <c r="H117" t="s">
        <v>108</v>
      </c>
      <c r="I117">
        <v>1</v>
      </c>
      <c r="J117" s="1">
        <v>40</v>
      </c>
      <c r="K117" t="s">
        <v>2067</v>
      </c>
      <c r="M117">
        <v>4.5</v>
      </c>
      <c r="N117">
        <v>0</v>
      </c>
      <c r="O117" t="s">
        <v>2077</v>
      </c>
      <c r="P117">
        <v>0.96</v>
      </c>
      <c r="Q117" s="2">
        <v>0.96</v>
      </c>
      <c r="S117" s="5">
        <v>2.4E-2</v>
      </c>
    </row>
    <row r="118" spans="1:19" x14ac:dyDescent="0.3">
      <c r="A118" t="s">
        <v>300</v>
      </c>
      <c r="B118" t="s">
        <v>301</v>
      </c>
      <c r="C118" t="s">
        <v>15</v>
      </c>
      <c r="D118" t="s">
        <v>20</v>
      </c>
      <c r="F118" t="s">
        <v>23</v>
      </c>
      <c r="G118" t="s">
        <v>24</v>
      </c>
      <c r="H118" t="s">
        <v>60</v>
      </c>
      <c r="I118">
        <v>9</v>
      </c>
      <c r="J118" s="1">
        <v>100</v>
      </c>
      <c r="K118" t="s">
        <v>2070</v>
      </c>
      <c r="M118">
        <v>4.8</v>
      </c>
      <c r="N118" t="s">
        <v>96</v>
      </c>
      <c r="O118" t="s">
        <v>2076</v>
      </c>
      <c r="P118">
        <v>0.72</v>
      </c>
      <c r="Q118" s="2">
        <v>0.72</v>
      </c>
      <c r="S118" s="5">
        <v>7.1999999999999998E-3</v>
      </c>
    </row>
    <row r="119" spans="1:19" x14ac:dyDescent="0.3">
      <c r="A119" t="s">
        <v>302</v>
      </c>
      <c r="B119" t="s">
        <v>303</v>
      </c>
      <c r="C119" t="s">
        <v>15</v>
      </c>
      <c r="D119" t="s">
        <v>20</v>
      </c>
      <c r="F119" t="s">
        <v>158</v>
      </c>
      <c r="G119" t="s">
        <v>159</v>
      </c>
      <c r="H119" t="s">
        <v>108</v>
      </c>
      <c r="I119">
        <v>9</v>
      </c>
      <c r="J119" s="1">
        <v>40</v>
      </c>
      <c r="K119" t="s">
        <v>2068</v>
      </c>
      <c r="L119" t="s">
        <v>2067</v>
      </c>
      <c r="M119">
        <v>1.7</v>
      </c>
      <c r="N119">
        <v>1</v>
      </c>
      <c r="O119" t="s">
        <v>2076</v>
      </c>
      <c r="P119">
        <v>72</v>
      </c>
      <c r="Q119" s="2">
        <v>0.72</v>
      </c>
      <c r="R119">
        <v>0.72</v>
      </c>
      <c r="S119" s="5">
        <v>1.7999999999999999E-2</v>
      </c>
    </row>
    <row r="120" spans="1:19" x14ac:dyDescent="0.3">
      <c r="A120" t="s">
        <v>304</v>
      </c>
      <c r="B120" t="s">
        <v>305</v>
      </c>
      <c r="C120" t="s">
        <v>111</v>
      </c>
      <c r="D120" t="s">
        <v>80</v>
      </c>
      <c r="E120">
        <v>47</v>
      </c>
      <c r="F120" t="s">
        <v>118</v>
      </c>
      <c r="G120" t="s">
        <v>119</v>
      </c>
      <c r="H120" t="s">
        <v>66</v>
      </c>
      <c r="I120">
        <v>13</v>
      </c>
      <c r="J120" s="1">
        <v>20</v>
      </c>
      <c r="K120" t="s">
        <v>2072</v>
      </c>
      <c r="M120">
        <v>4.5</v>
      </c>
      <c r="P120">
        <v>0.91</v>
      </c>
      <c r="Q120" s="2">
        <v>0.91</v>
      </c>
      <c r="S120" s="5">
        <v>4.5499999999999999E-2</v>
      </c>
    </row>
    <row r="121" spans="1:19" x14ac:dyDescent="0.3">
      <c r="A121" t="s">
        <v>306</v>
      </c>
      <c r="B121" t="s">
        <v>307</v>
      </c>
      <c r="C121" t="s">
        <v>111</v>
      </c>
      <c r="D121" t="s">
        <v>80</v>
      </c>
      <c r="E121">
        <v>56</v>
      </c>
      <c r="F121" t="s">
        <v>42</v>
      </c>
      <c r="G121" t="s">
        <v>43</v>
      </c>
      <c r="H121" t="s">
        <v>79</v>
      </c>
      <c r="I121">
        <v>27</v>
      </c>
      <c r="J121" s="1">
        <v>100</v>
      </c>
      <c r="K121" t="s">
        <v>2070</v>
      </c>
      <c r="M121">
        <v>4.7</v>
      </c>
      <c r="N121" t="b">
        <v>1</v>
      </c>
      <c r="O121" t="s">
        <v>2076</v>
      </c>
      <c r="P121">
        <v>0.69</v>
      </c>
      <c r="Q121" s="2">
        <v>0.69</v>
      </c>
      <c r="S121" s="5">
        <v>6.8999999999999999E-3</v>
      </c>
    </row>
    <row r="122" spans="1:19" x14ac:dyDescent="0.3">
      <c r="A122" t="s">
        <v>308</v>
      </c>
      <c r="B122" t="s">
        <v>309</v>
      </c>
      <c r="C122" t="s">
        <v>76</v>
      </c>
      <c r="D122" t="s">
        <v>80</v>
      </c>
      <c r="E122">
        <v>21</v>
      </c>
      <c r="F122" t="s">
        <v>158</v>
      </c>
      <c r="G122" t="s">
        <v>159</v>
      </c>
      <c r="H122" t="s">
        <v>66</v>
      </c>
      <c r="I122">
        <v>2</v>
      </c>
      <c r="J122" s="1">
        <v>100</v>
      </c>
      <c r="K122" t="s">
        <v>2070</v>
      </c>
      <c r="M122">
        <v>2.6</v>
      </c>
      <c r="N122" t="s">
        <v>96</v>
      </c>
      <c r="O122" t="s">
        <v>2076</v>
      </c>
      <c r="P122">
        <v>0.85</v>
      </c>
      <c r="Q122" s="2">
        <v>0.85</v>
      </c>
      <c r="S122" s="5">
        <v>8.5000000000000006E-3</v>
      </c>
    </row>
    <row r="123" spans="1:19" x14ac:dyDescent="0.3">
      <c r="A123" t="s">
        <v>310</v>
      </c>
      <c r="B123" t="s">
        <v>311</v>
      </c>
      <c r="C123" t="s">
        <v>76</v>
      </c>
      <c r="D123" t="s">
        <v>80</v>
      </c>
      <c r="E123">
        <v>36</v>
      </c>
      <c r="F123" t="s">
        <v>118</v>
      </c>
      <c r="G123" t="s">
        <v>119</v>
      </c>
      <c r="H123" t="s">
        <v>39</v>
      </c>
      <c r="J123" s="1">
        <v>20</v>
      </c>
      <c r="K123" t="s">
        <v>2072</v>
      </c>
      <c r="M123">
        <v>4.0999999999999996</v>
      </c>
      <c r="N123" t="s">
        <v>53</v>
      </c>
      <c r="O123" t="s">
        <v>2077</v>
      </c>
      <c r="P123">
        <v>0.86</v>
      </c>
      <c r="Q123" s="2">
        <v>0.86</v>
      </c>
      <c r="S123" s="5">
        <v>4.2999999999999997E-2</v>
      </c>
    </row>
    <row r="124" spans="1:19" x14ac:dyDescent="0.3">
      <c r="A124" t="s">
        <v>312</v>
      </c>
      <c r="B124" t="s">
        <v>313</v>
      </c>
      <c r="C124" t="s">
        <v>111</v>
      </c>
      <c r="D124" t="s">
        <v>80</v>
      </c>
      <c r="E124">
        <v>57</v>
      </c>
      <c r="F124" t="s">
        <v>101</v>
      </c>
      <c r="G124" t="s">
        <v>59</v>
      </c>
      <c r="H124" t="s">
        <v>18</v>
      </c>
      <c r="I124">
        <v>30</v>
      </c>
      <c r="J124" s="1">
        <v>30</v>
      </c>
      <c r="K124" t="s">
        <v>2065</v>
      </c>
      <c r="L124" t="s">
        <v>2069</v>
      </c>
      <c r="M124">
        <v>2.4</v>
      </c>
      <c r="P124">
        <v>0.8</v>
      </c>
      <c r="Q124" s="2">
        <v>0.8</v>
      </c>
      <c r="S124" s="5">
        <v>2.66666666666667E-2</v>
      </c>
    </row>
    <row r="125" spans="1:19" x14ac:dyDescent="0.3">
      <c r="A125" t="s">
        <v>314</v>
      </c>
      <c r="B125" t="s">
        <v>315</v>
      </c>
      <c r="C125" t="s">
        <v>76</v>
      </c>
      <c r="D125" t="s">
        <v>80</v>
      </c>
      <c r="E125">
        <v>49</v>
      </c>
      <c r="F125" t="s">
        <v>158</v>
      </c>
      <c r="G125" t="s">
        <v>159</v>
      </c>
      <c r="H125" t="s">
        <v>52</v>
      </c>
      <c r="I125">
        <v>15</v>
      </c>
      <c r="J125" s="1">
        <v>40</v>
      </c>
      <c r="K125" t="s">
        <v>2067</v>
      </c>
      <c r="M125">
        <v>3.9</v>
      </c>
      <c r="N125" t="b">
        <v>0</v>
      </c>
      <c r="O125" t="s">
        <v>2077</v>
      </c>
      <c r="P125">
        <v>0.86</v>
      </c>
      <c r="Q125" s="2">
        <v>0.86</v>
      </c>
      <c r="S125" s="5">
        <v>2.1499999999999998E-2</v>
      </c>
    </row>
    <row r="126" spans="1:19" x14ac:dyDescent="0.3">
      <c r="A126" t="s">
        <v>316</v>
      </c>
      <c r="B126" t="s">
        <v>317</v>
      </c>
      <c r="C126" t="s">
        <v>36</v>
      </c>
      <c r="D126" t="s">
        <v>20</v>
      </c>
      <c r="E126">
        <v>36</v>
      </c>
      <c r="F126" t="s">
        <v>37</v>
      </c>
      <c r="G126" t="s">
        <v>38</v>
      </c>
      <c r="H126" t="s">
        <v>60</v>
      </c>
      <c r="I126">
        <v>2</v>
      </c>
      <c r="J126" s="1">
        <v>75</v>
      </c>
      <c r="K126" t="s">
        <v>2066</v>
      </c>
      <c r="M126">
        <v>0</v>
      </c>
      <c r="N126" t="b">
        <v>0</v>
      </c>
      <c r="O126" t="s">
        <v>2077</v>
      </c>
      <c r="P126">
        <v>0.92</v>
      </c>
      <c r="Q126" s="2">
        <v>0.92</v>
      </c>
      <c r="S126" s="5">
        <v>1.22666666666667E-2</v>
      </c>
    </row>
    <row r="127" spans="1:19" x14ac:dyDescent="0.3">
      <c r="A127" t="s">
        <v>318</v>
      </c>
      <c r="B127" t="s">
        <v>319</v>
      </c>
      <c r="C127" t="s">
        <v>15</v>
      </c>
      <c r="D127" t="s">
        <v>20</v>
      </c>
      <c r="E127">
        <v>29</v>
      </c>
      <c r="F127" t="s">
        <v>27</v>
      </c>
      <c r="G127" t="s">
        <v>28</v>
      </c>
      <c r="H127" t="s">
        <v>108</v>
      </c>
      <c r="I127">
        <v>8</v>
      </c>
      <c r="J127" s="1">
        <v>40</v>
      </c>
      <c r="K127" t="s">
        <v>2067</v>
      </c>
      <c r="M127">
        <v>3.1</v>
      </c>
      <c r="N127" t="s">
        <v>53</v>
      </c>
      <c r="O127" t="s">
        <v>2077</v>
      </c>
      <c r="P127">
        <v>0.6</v>
      </c>
      <c r="Q127" s="2">
        <v>0.6</v>
      </c>
      <c r="S127" s="5">
        <v>1.4999999999999999E-2</v>
      </c>
    </row>
    <row r="128" spans="1:19" x14ac:dyDescent="0.3">
      <c r="A128" t="s">
        <v>320</v>
      </c>
      <c r="B128" t="s">
        <v>321</v>
      </c>
      <c r="C128" t="s">
        <v>36</v>
      </c>
      <c r="D128" t="s">
        <v>20</v>
      </c>
      <c r="E128">
        <v>32</v>
      </c>
      <c r="F128" t="s">
        <v>42</v>
      </c>
      <c r="G128" t="s">
        <v>43</v>
      </c>
      <c r="H128" t="s">
        <v>63</v>
      </c>
      <c r="I128">
        <v>10</v>
      </c>
      <c r="J128" s="1">
        <v>30</v>
      </c>
      <c r="K128" t="s">
        <v>2065</v>
      </c>
      <c r="L128" t="s">
        <v>2069</v>
      </c>
      <c r="M128">
        <v>3.8</v>
      </c>
      <c r="N128">
        <v>0</v>
      </c>
      <c r="O128" t="s">
        <v>2077</v>
      </c>
      <c r="P128">
        <v>0.61</v>
      </c>
      <c r="Q128" s="2">
        <v>0.61</v>
      </c>
      <c r="S128" s="5">
        <v>2.0333333333333301E-2</v>
      </c>
    </row>
    <row r="129" spans="1:19" x14ac:dyDescent="0.3">
      <c r="A129" t="s">
        <v>322</v>
      </c>
      <c r="B129" t="s">
        <v>323</v>
      </c>
      <c r="C129" t="s">
        <v>15</v>
      </c>
      <c r="D129" t="s">
        <v>20</v>
      </c>
      <c r="E129">
        <v>21</v>
      </c>
      <c r="F129" t="s">
        <v>23</v>
      </c>
      <c r="G129" t="s">
        <v>24</v>
      </c>
      <c r="H129" t="s">
        <v>18</v>
      </c>
      <c r="I129">
        <v>1</v>
      </c>
      <c r="J129" s="1">
        <v>100</v>
      </c>
      <c r="K129" t="s">
        <v>2070</v>
      </c>
      <c r="M129">
        <v>2.1</v>
      </c>
      <c r="N129">
        <v>1</v>
      </c>
      <c r="O129" t="s">
        <v>2076</v>
      </c>
      <c r="P129">
        <v>0.92</v>
      </c>
      <c r="Q129" s="2">
        <v>0.92</v>
      </c>
      <c r="S129" s="5">
        <v>9.1999999999999998E-3</v>
      </c>
    </row>
    <row r="130" spans="1:19" x14ac:dyDescent="0.3">
      <c r="A130" t="s">
        <v>324</v>
      </c>
      <c r="B130" t="s">
        <v>325</v>
      </c>
      <c r="C130" t="s">
        <v>15</v>
      </c>
      <c r="D130" t="s">
        <v>20</v>
      </c>
      <c r="E130">
        <v>32</v>
      </c>
      <c r="F130" t="s">
        <v>83</v>
      </c>
      <c r="G130" t="s">
        <v>84</v>
      </c>
      <c r="H130" t="s">
        <v>47</v>
      </c>
      <c r="I130">
        <v>11</v>
      </c>
      <c r="J130" s="1">
        <v>40</v>
      </c>
      <c r="K130" t="s">
        <v>2067</v>
      </c>
      <c r="M130">
        <v>4.3</v>
      </c>
      <c r="N130" t="b">
        <v>1</v>
      </c>
      <c r="O130" t="s">
        <v>2076</v>
      </c>
      <c r="P130">
        <v>0.86</v>
      </c>
      <c r="Q130" s="2">
        <v>0.86</v>
      </c>
      <c r="S130" s="5">
        <v>2.1499999999999998E-2</v>
      </c>
    </row>
    <row r="131" spans="1:19" x14ac:dyDescent="0.3">
      <c r="A131" t="s">
        <v>326</v>
      </c>
      <c r="B131" t="s">
        <v>327</v>
      </c>
      <c r="C131" t="s">
        <v>15</v>
      </c>
      <c r="D131" t="s">
        <v>20</v>
      </c>
      <c r="E131">
        <v>44</v>
      </c>
      <c r="F131" t="s">
        <v>46</v>
      </c>
      <c r="G131" t="s">
        <v>17</v>
      </c>
      <c r="H131" t="s">
        <v>79</v>
      </c>
      <c r="I131">
        <v>24</v>
      </c>
      <c r="J131" s="1">
        <v>75</v>
      </c>
      <c r="K131" t="s">
        <v>2068</v>
      </c>
      <c r="L131" t="s">
        <v>2066</v>
      </c>
      <c r="M131">
        <v>4.5999999999999996</v>
      </c>
      <c r="N131" t="s">
        <v>67</v>
      </c>
      <c r="O131" t="s">
        <v>2077</v>
      </c>
      <c r="P131">
        <v>0.97</v>
      </c>
      <c r="Q131" s="2">
        <v>0.97</v>
      </c>
      <c r="S131" s="5">
        <v>1.29333333333333E-2</v>
      </c>
    </row>
    <row r="132" spans="1:19" x14ac:dyDescent="0.3">
      <c r="A132" t="s">
        <v>328</v>
      </c>
      <c r="B132" t="s">
        <v>329</v>
      </c>
      <c r="C132" t="s">
        <v>111</v>
      </c>
      <c r="D132" t="s">
        <v>80</v>
      </c>
      <c r="E132">
        <v>38</v>
      </c>
      <c r="F132" t="s">
        <v>155</v>
      </c>
      <c r="G132" t="s">
        <v>17</v>
      </c>
      <c r="H132" t="s">
        <v>39</v>
      </c>
      <c r="I132">
        <v>19</v>
      </c>
      <c r="J132" s="1">
        <v>75</v>
      </c>
      <c r="K132" t="s">
        <v>2066</v>
      </c>
      <c r="M132">
        <v>2.2999999999999998</v>
      </c>
      <c r="N132" t="b">
        <v>0</v>
      </c>
      <c r="O132" t="s">
        <v>2077</v>
      </c>
      <c r="P132">
        <v>0.61</v>
      </c>
      <c r="Q132" s="2">
        <v>0.61</v>
      </c>
      <c r="S132" s="5">
        <v>8.1333333333333292E-3</v>
      </c>
    </row>
    <row r="133" spans="1:19" x14ac:dyDescent="0.3">
      <c r="A133" t="s">
        <v>330</v>
      </c>
      <c r="B133" t="s">
        <v>331</v>
      </c>
      <c r="C133" t="s">
        <v>111</v>
      </c>
      <c r="D133" t="s">
        <v>80</v>
      </c>
      <c r="E133">
        <v>52</v>
      </c>
      <c r="F133" t="s">
        <v>91</v>
      </c>
      <c r="G133" t="s">
        <v>59</v>
      </c>
      <c r="H133" t="s">
        <v>18</v>
      </c>
      <c r="I133">
        <v>29</v>
      </c>
      <c r="J133" s="1">
        <v>30</v>
      </c>
      <c r="K133" t="s">
        <v>2069</v>
      </c>
      <c r="M133">
        <v>3.8</v>
      </c>
      <c r="N133">
        <v>0</v>
      </c>
      <c r="O133" t="s">
        <v>2077</v>
      </c>
      <c r="P133">
        <v>0.68</v>
      </c>
      <c r="Q133" s="2">
        <v>0.68</v>
      </c>
      <c r="S133" s="5">
        <v>2.26666666666667E-2</v>
      </c>
    </row>
    <row r="134" spans="1:19" x14ac:dyDescent="0.3">
      <c r="A134" t="s">
        <v>332</v>
      </c>
      <c r="B134" t="s">
        <v>333</v>
      </c>
      <c r="C134" t="s">
        <v>76</v>
      </c>
      <c r="D134" t="s">
        <v>80</v>
      </c>
      <c r="E134">
        <v>24</v>
      </c>
      <c r="F134" t="s">
        <v>158</v>
      </c>
      <c r="G134" t="s">
        <v>159</v>
      </c>
      <c r="H134" t="s">
        <v>18</v>
      </c>
      <c r="I134">
        <v>5</v>
      </c>
      <c r="J134" s="1">
        <v>40</v>
      </c>
      <c r="K134" t="s">
        <v>2067</v>
      </c>
      <c r="M134">
        <v>1.8</v>
      </c>
      <c r="N134">
        <v>1</v>
      </c>
      <c r="O134" t="s">
        <v>2076</v>
      </c>
      <c r="P134">
        <v>0.86</v>
      </c>
      <c r="Q134" s="2">
        <v>0.86</v>
      </c>
      <c r="S134" s="5">
        <v>2.1499999999999998E-2</v>
      </c>
    </row>
    <row r="135" spans="1:19" x14ac:dyDescent="0.3">
      <c r="A135" t="s">
        <v>334</v>
      </c>
      <c r="B135" t="s">
        <v>335</v>
      </c>
      <c r="C135" t="s">
        <v>76</v>
      </c>
      <c r="D135" t="s">
        <v>80</v>
      </c>
      <c r="E135">
        <v>33</v>
      </c>
      <c r="F135" t="s">
        <v>46</v>
      </c>
      <c r="G135" t="s">
        <v>17</v>
      </c>
      <c r="H135" t="s">
        <v>63</v>
      </c>
      <c r="I135">
        <v>12</v>
      </c>
      <c r="J135" s="1">
        <v>100</v>
      </c>
      <c r="K135" t="s">
        <v>2070</v>
      </c>
      <c r="M135">
        <v>3.6</v>
      </c>
      <c r="N135">
        <v>0</v>
      </c>
      <c r="O135" t="s">
        <v>2077</v>
      </c>
      <c r="P135">
        <v>0.63</v>
      </c>
      <c r="Q135" s="2">
        <v>0.63</v>
      </c>
      <c r="S135" s="5">
        <v>6.3E-3</v>
      </c>
    </row>
    <row r="136" spans="1:19" x14ac:dyDescent="0.3">
      <c r="A136" t="s">
        <v>336</v>
      </c>
      <c r="B136" t="s">
        <v>337</v>
      </c>
      <c r="C136" t="s">
        <v>76</v>
      </c>
      <c r="D136" t="s">
        <v>80</v>
      </c>
      <c r="E136">
        <v>36</v>
      </c>
      <c r="F136" t="s">
        <v>254</v>
      </c>
      <c r="G136" t="s">
        <v>255</v>
      </c>
      <c r="H136" t="s">
        <v>79</v>
      </c>
      <c r="I136">
        <v>14</v>
      </c>
      <c r="J136" s="1">
        <v>30</v>
      </c>
      <c r="K136" t="s">
        <v>2069</v>
      </c>
      <c r="M136">
        <v>1.9</v>
      </c>
      <c r="N136">
        <v>0</v>
      </c>
      <c r="O136" t="s">
        <v>2077</v>
      </c>
      <c r="P136">
        <v>0.62</v>
      </c>
      <c r="Q136" s="2">
        <v>0.62</v>
      </c>
      <c r="S136" s="5">
        <v>2.0666666666666701E-2</v>
      </c>
    </row>
    <row r="137" spans="1:19" x14ac:dyDescent="0.3">
      <c r="A137" t="s">
        <v>338</v>
      </c>
      <c r="B137" t="s">
        <v>339</v>
      </c>
      <c r="C137" t="s">
        <v>111</v>
      </c>
      <c r="D137" t="s">
        <v>80</v>
      </c>
      <c r="E137">
        <v>56</v>
      </c>
      <c r="F137" t="s">
        <v>87</v>
      </c>
      <c r="G137" t="s">
        <v>88</v>
      </c>
      <c r="H137" t="s">
        <v>79</v>
      </c>
      <c r="I137">
        <v>13</v>
      </c>
      <c r="J137" s="1">
        <v>30</v>
      </c>
      <c r="K137" t="s">
        <v>2069</v>
      </c>
      <c r="M137">
        <v>0</v>
      </c>
      <c r="P137">
        <v>77</v>
      </c>
      <c r="Q137" s="2">
        <v>0.77</v>
      </c>
      <c r="R137">
        <v>0.77</v>
      </c>
      <c r="S137" s="5">
        <v>2.5666666666666699E-2</v>
      </c>
    </row>
    <row r="138" spans="1:19" x14ac:dyDescent="0.3">
      <c r="A138" t="s">
        <v>340</v>
      </c>
      <c r="B138" t="s">
        <v>341</v>
      </c>
      <c r="C138" t="s">
        <v>76</v>
      </c>
      <c r="D138" t="s">
        <v>80</v>
      </c>
      <c r="E138">
        <v>33</v>
      </c>
      <c r="F138" t="s">
        <v>139</v>
      </c>
      <c r="G138" t="s">
        <v>59</v>
      </c>
      <c r="H138" t="s">
        <v>79</v>
      </c>
      <c r="I138">
        <v>11</v>
      </c>
      <c r="J138" s="1">
        <v>75</v>
      </c>
      <c r="K138" t="s">
        <v>2066</v>
      </c>
      <c r="M138">
        <v>2.1</v>
      </c>
      <c r="N138">
        <v>0</v>
      </c>
      <c r="O138" t="s">
        <v>2077</v>
      </c>
      <c r="P138">
        <v>0.96</v>
      </c>
      <c r="Q138" s="2">
        <v>0.96</v>
      </c>
      <c r="S138" s="5">
        <v>1.2800000000000001E-2</v>
      </c>
    </row>
    <row r="139" spans="1:19" x14ac:dyDescent="0.3">
      <c r="A139" t="s">
        <v>342</v>
      </c>
      <c r="B139" t="s">
        <v>343</v>
      </c>
      <c r="C139" t="s">
        <v>36</v>
      </c>
      <c r="D139" t="s">
        <v>20</v>
      </c>
      <c r="E139">
        <v>48</v>
      </c>
      <c r="F139" t="s">
        <v>101</v>
      </c>
      <c r="G139" t="s">
        <v>59</v>
      </c>
      <c r="H139" t="s">
        <v>79</v>
      </c>
      <c r="I139">
        <v>24</v>
      </c>
      <c r="J139" s="1">
        <v>40</v>
      </c>
      <c r="K139" t="s">
        <v>2065</v>
      </c>
      <c r="L139" t="s">
        <v>2067</v>
      </c>
      <c r="M139">
        <v>2.2000000000000002</v>
      </c>
      <c r="N139">
        <v>0</v>
      </c>
      <c r="O139" t="s">
        <v>2077</v>
      </c>
      <c r="P139">
        <v>0.67</v>
      </c>
      <c r="Q139" s="2">
        <v>0.67</v>
      </c>
      <c r="S139" s="5">
        <v>1.6750000000000001E-2</v>
      </c>
    </row>
    <row r="140" spans="1:19" x14ac:dyDescent="0.3">
      <c r="A140" t="s">
        <v>344</v>
      </c>
      <c r="B140" t="s">
        <v>345</v>
      </c>
      <c r="C140" t="s">
        <v>15</v>
      </c>
      <c r="D140" t="s">
        <v>20</v>
      </c>
      <c r="E140">
        <v>57</v>
      </c>
      <c r="F140" t="s">
        <v>155</v>
      </c>
      <c r="G140" t="s">
        <v>17</v>
      </c>
      <c r="H140" t="s">
        <v>52</v>
      </c>
      <c r="I140">
        <v>21</v>
      </c>
      <c r="J140" s="1">
        <v>75</v>
      </c>
      <c r="K140" t="s">
        <v>2066</v>
      </c>
      <c r="M140">
        <v>2</v>
      </c>
      <c r="N140" t="s">
        <v>53</v>
      </c>
      <c r="O140" t="s">
        <v>2077</v>
      </c>
      <c r="P140">
        <v>0.96</v>
      </c>
      <c r="Q140" s="2">
        <v>0.96</v>
      </c>
      <c r="S140" s="5">
        <v>1.2800000000000001E-2</v>
      </c>
    </row>
    <row r="141" spans="1:19" x14ac:dyDescent="0.3">
      <c r="A141" t="s">
        <v>346</v>
      </c>
      <c r="B141" t="s">
        <v>347</v>
      </c>
      <c r="C141" t="s">
        <v>15</v>
      </c>
      <c r="D141" t="s">
        <v>20</v>
      </c>
      <c r="E141">
        <v>50</v>
      </c>
      <c r="F141" t="s">
        <v>16</v>
      </c>
      <c r="G141" t="s">
        <v>17</v>
      </c>
      <c r="H141" t="s">
        <v>63</v>
      </c>
      <c r="I141">
        <v>2</v>
      </c>
      <c r="J141" s="1">
        <v>50</v>
      </c>
      <c r="K141" t="s">
        <v>2071</v>
      </c>
      <c r="M141">
        <v>1.6</v>
      </c>
      <c r="N141" t="s">
        <v>67</v>
      </c>
      <c r="O141" t="s">
        <v>2077</v>
      </c>
      <c r="P141">
        <v>0.89</v>
      </c>
      <c r="Q141" s="2">
        <v>0.89</v>
      </c>
      <c r="S141" s="5">
        <v>1.78E-2</v>
      </c>
    </row>
    <row r="142" spans="1:19" x14ac:dyDescent="0.3">
      <c r="A142" t="s">
        <v>348</v>
      </c>
      <c r="B142" t="s">
        <v>349</v>
      </c>
      <c r="C142" t="s">
        <v>76</v>
      </c>
      <c r="D142" t="s">
        <v>80</v>
      </c>
      <c r="E142">
        <v>47</v>
      </c>
      <c r="F142" t="s">
        <v>254</v>
      </c>
      <c r="G142" t="s">
        <v>255</v>
      </c>
      <c r="H142" t="s">
        <v>66</v>
      </c>
      <c r="I142">
        <v>5</v>
      </c>
      <c r="J142" s="1">
        <v>40</v>
      </c>
      <c r="K142" t="s">
        <v>2065</v>
      </c>
      <c r="L142" t="s">
        <v>2067</v>
      </c>
      <c r="M142">
        <v>3.7</v>
      </c>
      <c r="N142" t="b">
        <v>0</v>
      </c>
      <c r="O142" t="s">
        <v>2077</v>
      </c>
      <c r="P142">
        <v>93</v>
      </c>
      <c r="Q142" s="2">
        <v>0.93</v>
      </c>
      <c r="R142">
        <v>0.93</v>
      </c>
      <c r="S142" s="5">
        <v>2.325E-2</v>
      </c>
    </row>
    <row r="143" spans="1:19" x14ac:dyDescent="0.3">
      <c r="A143" t="s">
        <v>350</v>
      </c>
      <c r="B143" t="s">
        <v>351</v>
      </c>
      <c r="C143" t="s">
        <v>76</v>
      </c>
      <c r="D143" t="s">
        <v>80</v>
      </c>
      <c r="E143">
        <v>45</v>
      </c>
      <c r="F143" t="s">
        <v>16</v>
      </c>
      <c r="G143" t="s">
        <v>17</v>
      </c>
      <c r="H143" t="s">
        <v>47</v>
      </c>
      <c r="I143">
        <v>1</v>
      </c>
      <c r="J143" s="1">
        <v>100</v>
      </c>
      <c r="K143" t="s">
        <v>2070</v>
      </c>
      <c r="M143">
        <v>1.5</v>
      </c>
      <c r="N143">
        <v>1</v>
      </c>
      <c r="O143" t="s">
        <v>2076</v>
      </c>
      <c r="P143">
        <v>1</v>
      </c>
      <c r="Q143" s="2">
        <v>1</v>
      </c>
      <c r="S143" s="5">
        <v>0.01</v>
      </c>
    </row>
    <row r="144" spans="1:19" x14ac:dyDescent="0.3">
      <c r="A144" t="s">
        <v>352</v>
      </c>
      <c r="B144" t="s">
        <v>353</v>
      </c>
      <c r="C144" t="s">
        <v>15</v>
      </c>
      <c r="D144" t="s">
        <v>20</v>
      </c>
      <c r="E144">
        <v>59</v>
      </c>
      <c r="F144" t="s">
        <v>155</v>
      </c>
      <c r="G144" t="s">
        <v>17</v>
      </c>
      <c r="H144" t="s">
        <v>108</v>
      </c>
      <c r="I144">
        <v>0</v>
      </c>
      <c r="J144" s="1">
        <v>100</v>
      </c>
      <c r="K144" t="s">
        <v>2070</v>
      </c>
      <c r="M144">
        <v>0</v>
      </c>
      <c r="N144" t="s">
        <v>96</v>
      </c>
      <c r="O144" t="s">
        <v>2076</v>
      </c>
      <c r="P144">
        <v>87</v>
      </c>
      <c r="Q144" s="2">
        <v>0.87</v>
      </c>
      <c r="R144">
        <v>0.87</v>
      </c>
      <c r="S144" s="5">
        <v>8.6999999999999994E-3</v>
      </c>
    </row>
    <row r="145" spans="1:19" x14ac:dyDescent="0.3">
      <c r="A145" t="s">
        <v>354</v>
      </c>
      <c r="B145" t="s">
        <v>355</v>
      </c>
      <c r="C145" t="s">
        <v>76</v>
      </c>
      <c r="D145" t="s">
        <v>80</v>
      </c>
      <c r="E145">
        <v>20</v>
      </c>
      <c r="F145" t="s">
        <v>254</v>
      </c>
      <c r="G145" t="s">
        <v>255</v>
      </c>
      <c r="H145" t="s">
        <v>66</v>
      </c>
      <c r="I145">
        <v>1</v>
      </c>
      <c r="J145" s="1">
        <v>40</v>
      </c>
      <c r="K145" t="s">
        <v>2068</v>
      </c>
      <c r="L145" t="s">
        <v>2067</v>
      </c>
      <c r="M145">
        <v>2.2999999999999998</v>
      </c>
      <c r="N145">
        <v>1</v>
      </c>
      <c r="O145" t="s">
        <v>2076</v>
      </c>
      <c r="P145">
        <v>0.72</v>
      </c>
      <c r="Q145" s="2">
        <v>0.72</v>
      </c>
      <c r="S145" s="5">
        <v>1.7999999999999999E-2</v>
      </c>
    </row>
    <row r="146" spans="1:19" x14ac:dyDescent="0.3">
      <c r="A146" t="s">
        <v>356</v>
      </c>
      <c r="B146" t="s">
        <v>357</v>
      </c>
      <c r="C146" t="s">
        <v>111</v>
      </c>
      <c r="D146" t="s">
        <v>80</v>
      </c>
      <c r="E146">
        <v>54</v>
      </c>
      <c r="F146" t="s">
        <v>139</v>
      </c>
      <c r="G146" t="s">
        <v>59</v>
      </c>
      <c r="H146" t="s">
        <v>47</v>
      </c>
      <c r="I146">
        <v>9</v>
      </c>
      <c r="J146" s="1">
        <v>100</v>
      </c>
      <c r="K146" t="s">
        <v>2070</v>
      </c>
      <c r="N146" t="s">
        <v>53</v>
      </c>
      <c r="O146" t="s">
        <v>2077</v>
      </c>
      <c r="P146">
        <v>0.72</v>
      </c>
      <c r="Q146" s="2">
        <v>0.72</v>
      </c>
      <c r="S146" s="5">
        <v>7.1999999999999998E-3</v>
      </c>
    </row>
    <row r="147" spans="1:19" x14ac:dyDescent="0.3">
      <c r="A147" t="s">
        <v>358</v>
      </c>
      <c r="B147" t="s">
        <v>359</v>
      </c>
      <c r="C147" t="s">
        <v>111</v>
      </c>
      <c r="D147" t="s">
        <v>80</v>
      </c>
      <c r="E147">
        <v>42</v>
      </c>
      <c r="F147" t="s">
        <v>104</v>
      </c>
      <c r="G147" t="s">
        <v>105</v>
      </c>
      <c r="H147" t="s">
        <v>79</v>
      </c>
      <c r="I147">
        <v>7</v>
      </c>
      <c r="J147" s="1">
        <v>40</v>
      </c>
      <c r="K147" t="s">
        <v>2068</v>
      </c>
      <c r="L147" t="s">
        <v>2067</v>
      </c>
      <c r="M147">
        <v>0</v>
      </c>
      <c r="N147">
        <v>1</v>
      </c>
      <c r="O147" t="s">
        <v>2076</v>
      </c>
    </row>
    <row r="148" spans="1:19" x14ac:dyDescent="0.3">
      <c r="A148" t="s">
        <v>360</v>
      </c>
      <c r="B148" t="s">
        <v>361</v>
      </c>
      <c r="C148" t="s">
        <v>76</v>
      </c>
      <c r="D148" t="s">
        <v>80</v>
      </c>
      <c r="E148">
        <v>59</v>
      </c>
      <c r="F148" t="s">
        <v>42</v>
      </c>
      <c r="G148" t="s">
        <v>43</v>
      </c>
      <c r="H148" t="s">
        <v>47</v>
      </c>
      <c r="I148">
        <v>22</v>
      </c>
      <c r="J148" s="1">
        <v>100</v>
      </c>
      <c r="K148" t="s">
        <v>2068</v>
      </c>
      <c r="L148" t="s">
        <v>2070</v>
      </c>
      <c r="M148">
        <v>1.1000000000000001</v>
      </c>
      <c r="N148" t="s">
        <v>67</v>
      </c>
      <c r="O148" t="s">
        <v>2077</v>
      </c>
      <c r="P148">
        <v>0.85</v>
      </c>
      <c r="Q148" s="2">
        <v>0.85</v>
      </c>
      <c r="S148" s="5">
        <v>8.5000000000000006E-3</v>
      </c>
    </row>
    <row r="149" spans="1:19" x14ac:dyDescent="0.3">
      <c r="A149" t="s">
        <v>362</v>
      </c>
      <c r="B149" t="s">
        <v>363</v>
      </c>
      <c r="C149" t="s">
        <v>76</v>
      </c>
      <c r="D149" t="s">
        <v>80</v>
      </c>
      <c r="E149">
        <v>44</v>
      </c>
      <c r="F149" t="s">
        <v>91</v>
      </c>
      <c r="G149" t="s">
        <v>59</v>
      </c>
      <c r="H149" t="s">
        <v>39</v>
      </c>
      <c r="I149">
        <v>21</v>
      </c>
      <c r="J149" s="1">
        <v>100</v>
      </c>
      <c r="K149" t="s">
        <v>2070</v>
      </c>
      <c r="M149">
        <v>2.9</v>
      </c>
      <c r="N149">
        <v>0</v>
      </c>
      <c r="O149" t="s">
        <v>2077</v>
      </c>
      <c r="P149">
        <v>0.83</v>
      </c>
      <c r="Q149" s="2">
        <v>0.83</v>
      </c>
      <c r="S149" s="5">
        <v>8.3000000000000001E-3</v>
      </c>
    </row>
    <row r="150" spans="1:19" x14ac:dyDescent="0.3">
      <c r="A150" t="s">
        <v>364</v>
      </c>
      <c r="B150" t="s">
        <v>365</v>
      </c>
      <c r="C150" t="s">
        <v>15</v>
      </c>
      <c r="D150" t="s">
        <v>20</v>
      </c>
      <c r="E150">
        <v>22</v>
      </c>
      <c r="F150" t="s">
        <v>87</v>
      </c>
      <c r="G150" t="s">
        <v>88</v>
      </c>
      <c r="H150" t="s">
        <v>63</v>
      </c>
      <c r="I150">
        <v>2</v>
      </c>
      <c r="J150" s="1">
        <v>75</v>
      </c>
      <c r="K150" t="s">
        <v>2065</v>
      </c>
      <c r="L150" t="s">
        <v>2066</v>
      </c>
      <c r="M150">
        <v>1.7</v>
      </c>
      <c r="N150" t="s">
        <v>67</v>
      </c>
      <c r="O150" t="s">
        <v>2077</v>
      </c>
      <c r="P150">
        <v>0.91</v>
      </c>
      <c r="Q150" s="2">
        <v>0.91</v>
      </c>
      <c r="S150" s="5">
        <v>1.21333333333333E-2</v>
      </c>
    </row>
    <row r="151" spans="1:19" x14ac:dyDescent="0.3">
      <c r="A151" t="s">
        <v>366</v>
      </c>
      <c r="B151" t="s">
        <v>367</v>
      </c>
      <c r="C151" t="s">
        <v>36</v>
      </c>
      <c r="D151" t="s">
        <v>20</v>
      </c>
      <c r="E151">
        <v>55</v>
      </c>
      <c r="F151" t="s">
        <v>37</v>
      </c>
      <c r="G151" t="s">
        <v>38</v>
      </c>
      <c r="H151" t="s">
        <v>60</v>
      </c>
      <c r="J151" s="1">
        <v>100</v>
      </c>
      <c r="K151" t="s">
        <v>2068</v>
      </c>
      <c r="L151" t="s">
        <v>2070</v>
      </c>
      <c r="M151">
        <v>1.2</v>
      </c>
      <c r="N151">
        <v>1</v>
      </c>
      <c r="O151" t="s">
        <v>2076</v>
      </c>
      <c r="P151">
        <v>0.69</v>
      </c>
      <c r="Q151" s="2">
        <v>0.69</v>
      </c>
      <c r="S151" s="5">
        <v>6.8999999999999999E-3</v>
      </c>
    </row>
    <row r="152" spans="1:19" x14ac:dyDescent="0.3">
      <c r="A152" t="s">
        <v>368</v>
      </c>
      <c r="B152" t="s">
        <v>369</v>
      </c>
      <c r="C152" t="s">
        <v>111</v>
      </c>
      <c r="D152" t="s">
        <v>80</v>
      </c>
      <c r="E152">
        <v>45</v>
      </c>
      <c r="F152" t="s">
        <v>155</v>
      </c>
      <c r="G152" t="s">
        <v>17</v>
      </c>
      <c r="H152" t="s">
        <v>33</v>
      </c>
      <c r="I152">
        <v>6</v>
      </c>
      <c r="J152" s="1">
        <v>40</v>
      </c>
      <c r="K152" t="s">
        <v>2067</v>
      </c>
      <c r="M152">
        <v>2</v>
      </c>
      <c r="N152">
        <v>1</v>
      </c>
      <c r="O152" t="s">
        <v>2076</v>
      </c>
      <c r="P152">
        <v>0.78</v>
      </c>
      <c r="Q152" s="2">
        <v>0.78</v>
      </c>
      <c r="S152" s="5">
        <v>1.95E-2</v>
      </c>
    </row>
    <row r="153" spans="1:19" x14ac:dyDescent="0.3">
      <c r="A153" t="s">
        <v>370</v>
      </c>
      <c r="B153" t="s">
        <v>371</v>
      </c>
      <c r="C153" t="s">
        <v>111</v>
      </c>
      <c r="D153" t="s">
        <v>80</v>
      </c>
      <c r="E153">
        <v>59</v>
      </c>
      <c r="F153" t="s">
        <v>46</v>
      </c>
      <c r="G153" t="s">
        <v>17</v>
      </c>
      <c r="H153" t="s">
        <v>108</v>
      </c>
      <c r="J153" s="1">
        <v>20</v>
      </c>
      <c r="K153" t="s">
        <v>2072</v>
      </c>
      <c r="M153">
        <v>4.0999999999999996</v>
      </c>
      <c r="N153">
        <v>0</v>
      </c>
      <c r="O153" t="s">
        <v>2077</v>
      </c>
      <c r="P153">
        <v>75</v>
      </c>
      <c r="Q153" s="2">
        <v>0.75</v>
      </c>
      <c r="R153">
        <v>0.75</v>
      </c>
      <c r="S153" s="5">
        <v>3.7499999999999999E-2</v>
      </c>
    </row>
    <row r="154" spans="1:19" x14ac:dyDescent="0.3">
      <c r="A154" t="s">
        <v>372</v>
      </c>
      <c r="B154" t="s">
        <v>373</v>
      </c>
      <c r="C154" t="s">
        <v>111</v>
      </c>
      <c r="D154" t="s">
        <v>80</v>
      </c>
      <c r="E154">
        <v>21</v>
      </c>
      <c r="F154" t="s">
        <v>27</v>
      </c>
      <c r="G154" t="s">
        <v>28</v>
      </c>
      <c r="H154" t="s">
        <v>63</v>
      </c>
      <c r="I154">
        <v>1</v>
      </c>
      <c r="J154" s="1">
        <v>100</v>
      </c>
      <c r="K154" t="s">
        <v>2065</v>
      </c>
      <c r="L154" t="s">
        <v>2070</v>
      </c>
      <c r="M154">
        <v>0</v>
      </c>
      <c r="N154" t="s">
        <v>19</v>
      </c>
      <c r="O154" t="s">
        <v>2076</v>
      </c>
      <c r="P154">
        <v>0.95</v>
      </c>
      <c r="Q154" s="2">
        <v>0.95</v>
      </c>
      <c r="S154" s="5">
        <v>9.4999999999999998E-3</v>
      </c>
    </row>
    <row r="155" spans="1:19" x14ac:dyDescent="0.3">
      <c r="A155" t="s">
        <v>374</v>
      </c>
      <c r="B155" t="s">
        <v>375</v>
      </c>
      <c r="C155" t="s">
        <v>76</v>
      </c>
      <c r="D155" t="s">
        <v>80</v>
      </c>
      <c r="E155">
        <v>31</v>
      </c>
      <c r="F155" t="s">
        <v>188</v>
      </c>
      <c r="G155" t="s">
        <v>189</v>
      </c>
      <c r="H155" t="s">
        <v>63</v>
      </c>
      <c r="I155">
        <v>9</v>
      </c>
      <c r="M155">
        <v>0</v>
      </c>
      <c r="N155" t="b">
        <v>0</v>
      </c>
      <c r="O155" t="s">
        <v>2077</v>
      </c>
      <c r="P155">
        <v>0.91</v>
      </c>
      <c r="Q155" s="2">
        <v>0.91</v>
      </c>
    </row>
    <row r="156" spans="1:19" x14ac:dyDescent="0.3">
      <c r="A156" t="s">
        <v>376</v>
      </c>
      <c r="B156" t="s">
        <v>377</v>
      </c>
      <c r="C156" t="s">
        <v>76</v>
      </c>
      <c r="D156" t="s">
        <v>80</v>
      </c>
      <c r="E156">
        <v>27</v>
      </c>
      <c r="F156" t="s">
        <v>77</v>
      </c>
      <c r="G156" t="s">
        <v>78</v>
      </c>
      <c r="H156" t="s">
        <v>39</v>
      </c>
      <c r="I156">
        <v>7</v>
      </c>
      <c r="J156" s="1">
        <v>30</v>
      </c>
      <c r="K156" t="s">
        <v>2069</v>
      </c>
      <c r="M156">
        <v>2.4</v>
      </c>
      <c r="N156" t="s">
        <v>19</v>
      </c>
      <c r="O156" t="s">
        <v>2076</v>
      </c>
      <c r="P156">
        <v>0.66</v>
      </c>
      <c r="Q156" s="2">
        <v>0.66</v>
      </c>
      <c r="S156" s="5">
        <v>2.1999999999999999E-2</v>
      </c>
    </row>
    <row r="157" spans="1:19" x14ac:dyDescent="0.3">
      <c r="A157" t="s">
        <v>378</v>
      </c>
      <c r="B157" t="s">
        <v>379</v>
      </c>
      <c r="C157" t="s">
        <v>36</v>
      </c>
      <c r="D157" t="s">
        <v>20</v>
      </c>
      <c r="E157">
        <v>51</v>
      </c>
      <c r="F157" t="s">
        <v>118</v>
      </c>
      <c r="G157" t="s">
        <v>119</v>
      </c>
      <c r="H157" t="s">
        <v>60</v>
      </c>
      <c r="I157">
        <v>21</v>
      </c>
      <c r="J157" s="1">
        <v>30</v>
      </c>
      <c r="K157" t="s">
        <v>2068</v>
      </c>
      <c r="L157" t="s">
        <v>2069</v>
      </c>
      <c r="M157">
        <v>4.7</v>
      </c>
      <c r="N157" t="s">
        <v>53</v>
      </c>
      <c r="O157" t="s">
        <v>2077</v>
      </c>
    </row>
    <row r="158" spans="1:19" x14ac:dyDescent="0.3">
      <c r="A158" t="s">
        <v>380</v>
      </c>
      <c r="B158" t="s">
        <v>381</v>
      </c>
      <c r="C158" t="s">
        <v>36</v>
      </c>
      <c r="D158" t="s">
        <v>20</v>
      </c>
      <c r="E158">
        <v>43</v>
      </c>
      <c r="F158" t="s">
        <v>46</v>
      </c>
      <c r="G158" t="s">
        <v>17</v>
      </c>
      <c r="H158" t="s">
        <v>39</v>
      </c>
      <c r="I158">
        <v>2</v>
      </c>
      <c r="J158" s="1">
        <v>100</v>
      </c>
      <c r="K158" t="s">
        <v>2070</v>
      </c>
      <c r="M158">
        <v>1.1000000000000001</v>
      </c>
      <c r="N158">
        <v>1</v>
      </c>
      <c r="O158" t="s">
        <v>2076</v>
      </c>
      <c r="P158">
        <v>0.63</v>
      </c>
      <c r="Q158" s="2">
        <v>0.63</v>
      </c>
      <c r="S158" s="5">
        <v>6.3E-3</v>
      </c>
    </row>
    <row r="159" spans="1:19" x14ac:dyDescent="0.3">
      <c r="A159" t="s">
        <v>382</v>
      </c>
      <c r="B159" t="s">
        <v>383</v>
      </c>
      <c r="C159" t="s">
        <v>36</v>
      </c>
      <c r="D159" t="s">
        <v>20</v>
      </c>
      <c r="E159">
        <v>52</v>
      </c>
      <c r="F159" t="s">
        <v>83</v>
      </c>
      <c r="G159" t="s">
        <v>84</v>
      </c>
      <c r="H159" t="s">
        <v>63</v>
      </c>
      <c r="I159">
        <v>15</v>
      </c>
      <c r="J159" s="1">
        <v>50</v>
      </c>
      <c r="K159" t="s">
        <v>2071</v>
      </c>
      <c r="M159">
        <v>0</v>
      </c>
      <c r="N159" t="s">
        <v>19</v>
      </c>
      <c r="O159" t="s">
        <v>2076</v>
      </c>
      <c r="P159">
        <v>0.81</v>
      </c>
      <c r="Q159" s="2">
        <v>0.81</v>
      </c>
      <c r="S159" s="5">
        <v>1.6199999999999999E-2</v>
      </c>
    </row>
    <row r="160" spans="1:19" x14ac:dyDescent="0.3">
      <c r="A160" t="s">
        <v>384</v>
      </c>
      <c r="B160" t="s">
        <v>385</v>
      </c>
      <c r="C160" t="s">
        <v>36</v>
      </c>
      <c r="D160" t="s">
        <v>20</v>
      </c>
      <c r="E160">
        <v>32</v>
      </c>
      <c r="F160" t="s">
        <v>155</v>
      </c>
      <c r="G160" t="s">
        <v>17</v>
      </c>
      <c r="H160" t="s">
        <v>63</v>
      </c>
      <c r="I160">
        <v>9</v>
      </c>
      <c r="J160" s="1">
        <v>40</v>
      </c>
      <c r="K160" t="s">
        <v>2068</v>
      </c>
      <c r="L160" t="s">
        <v>2067</v>
      </c>
      <c r="M160">
        <v>1.3</v>
      </c>
      <c r="N160" t="b">
        <v>1</v>
      </c>
      <c r="O160" t="s">
        <v>2076</v>
      </c>
      <c r="P160">
        <v>0.83</v>
      </c>
      <c r="Q160" s="2">
        <v>0.83</v>
      </c>
      <c r="S160" s="5">
        <v>2.0750000000000001E-2</v>
      </c>
    </row>
    <row r="161" spans="1:19" x14ac:dyDescent="0.3">
      <c r="A161" t="s">
        <v>386</v>
      </c>
      <c r="B161" t="s">
        <v>387</v>
      </c>
      <c r="C161" t="s">
        <v>15</v>
      </c>
      <c r="D161" t="s">
        <v>20</v>
      </c>
      <c r="E161">
        <v>58</v>
      </c>
      <c r="F161" t="s">
        <v>46</v>
      </c>
      <c r="G161" t="s">
        <v>17</v>
      </c>
      <c r="H161" t="s">
        <v>63</v>
      </c>
      <c r="J161" s="1">
        <v>100</v>
      </c>
      <c r="K161" t="s">
        <v>2070</v>
      </c>
      <c r="M161">
        <v>4.5</v>
      </c>
      <c r="N161" t="s">
        <v>67</v>
      </c>
      <c r="O161" t="s">
        <v>2077</v>
      </c>
      <c r="P161">
        <v>77</v>
      </c>
      <c r="Q161" s="2">
        <v>0.77</v>
      </c>
      <c r="R161">
        <v>0.77</v>
      </c>
      <c r="S161" s="5">
        <v>7.7000000000000002E-3</v>
      </c>
    </row>
    <row r="162" spans="1:19" x14ac:dyDescent="0.3">
      <c r="A162" t="s">
        <v>388</v>
      </c>
      <c r="B162" t="s">
        <v>389</v>
      </c>
      <c r="C162" t="s">
        <v>76</v>
      </c>
      <c r="D162" t="s">
        <v>80</v>
      </c>
      <c r="E162">
        <v>58</v>
      </c>
      <c r="F162" t="s">
        <v>27</v>
      </c>
      <c r="G162" t="s">
        <v>28</v>
      </c>
      <c r="H162" t="s">
        <v>63</v>
      </c>
      <c r="I162">
        <v>37</v>
      </c>
      <c r="J162" s="1">
        <v>50</v>
      </c>
      <c r="K162" t="s">
        <v>2068</v>
      </c>
      <c r="L162" t="s">
        <v>2071</v>
      </c>
      <c r="M162">
        <v>4.9000000000000004</v>
      </c>
      <c r="N162" t="b">
        <v>0</v>
      </c>
      <c r="O162" t="s">
        <v>2077</v>
      </c>
      <c r="P162">
        <v>0.69</v>
      </c>
      <c r="Q162" s="2">
        <v>0.69</v>
      </c>
      <c r="S162" s="5">
        <v>1.38E-2</v>
      </c>
    </row>
    <row r="163" spans="1:19" x14ac:dyDescent="0.3">
      <c r="A163" t="s">
        <v>390</v>
      </c>
      <c r="B163" t="s">
        <v>391</v>
      </c>
      <c r="C163" t="s">
        <v>15</v>
      </c>
      <c r="D163" t="s">
        <v>20</v>
      </c>
      <c r="E163">
        <v>25</v>
      </c>
      <c r="F163" t="s">
        <v>158</v>
      </c>
      <c r="G163" t="s">
        <v>159</v>
      </c>
      <c r="H163" t="s">
        <v>79</v>
      </c>
      <c r="I163">
        <v>4</v>
      </c>
      <c r="J163" s="1">
        <v>50</v>
      </c>
      <c r="K163" t="s">
        <v>2071</v>
      </c>
      <c r="M163">
        <v>2.7</v>
      </c>
      <c r="N163" t="s">
        <v>53</v>
      </c>
      <c r="O163" t="s">
        <v>2077</v>
      </c>
      <c r="P163">
        <v>0.77</v>
      </c>
      <c r="Q163" s="2">
        <v>0.77</v>
      </c>
      <c r="S163" s="5">
        <v>1.54E-2</v>
      </c>
    </row>
    <row r="164" spans="1:19" x14ac:dyDescent="0.3">
      <c r="A164" t="s">
        <v>392</v>
      </c>
      <c r="B164" t="s">
        <v>393</v>
      </c>
      <c r="C164" t="s">
        <v>76</v>
      </c>
      <c r="D164" t="s">
        <v>80</v>
      </c>
      <c r="E164">
        <v>39</v>
      </c>
      <c r="F164" t="s">
        <v>104</v>
      </c>
      <c r="G164" t="s">
        <v>105</v>
      </c>
      <c r="H164" t="s">
        <v>33</v>
      </c>
      <c r="I164">
        <v>13</v>
      </c>
      <c r="J164" s="1">
        <v>30</v>
      </c>
      <c r="K164" t="s">
        <v>2069</v>
      </c>
      <c r="M164">
        <v>1.1000000000000001</v>
      </c>
      <c r="N164">
        <v>1</v>
      </c>
      <c r="O164" t="s">
        <v>2076</v>
      </c>
    </row>
    <row r="165" spans="1:19" x14ac:dyDescent="0.3">
      <c r="A165" t="s">
        <v>394</v>
      </c>
      <c r="B165" t="s">
        <v>395</v>
      </c>
      <c r="C165" t="s">
        <v>111</v>
      </c>
      <c r="D165" t="s">
        <v>80</v>
      </c>
      <c r="E165">
        <v>29</v>
      </c>
      <c r="F165" t="s">
        <v>27</v>
      </c>
      <c r="G165" t="s">
        <v>28</v>
      </c>
      <c r="H165" t="s">
        <v>47</v>
      </c>
      <c r="I165">
        <v>10</v>
      </c>
      <c r="J165" s="1">
        <v>40</v>
      </c>
      <c r="K165" t="s">
        <v>2068</v>
      </c>
      <c r="L165" t="s">
        <v>2067</v>
      </c>
      <c r="M165">
        <v>1.2</v>
      </c>
      <c r="N165" t="b">
        <v>0</v>
      </c>
      <c r="O165" t="s">
        <v>2077</v>
      </c>
      <c r="P165">
        <v>0.78</v>
      </c>
      <c r="Q165" s="2">
        <v>0.78</v>
      </c>
      <c r="S165" s="5">
        <v>1.95E-2</v>
      </c>
    </row>
    <row r="166" spans="1:19" x14ac:dyDescent="0.3">
      <c r="A166" t="s">
        <v>396</v>
      </c>
      <c r="B166" t="s">
        <v>397</v>
      </c>
      <c r="C166" t="s">
        <v>76</v>
      </c>
      <c r="D166" t="s">
        <v>80</v>
      </c>
      <c r="E166">
        <v>24</v>
      </c>
      <c r="F166" t="s">
        <v>104</v>
      </c>
      <c r="G166" t="s">
        <v>105</v>
      </c>
      <c r="H166" t="s">
        <v>66</v>
      </c>
      <c r="I166">
        <v>6</v>
      </c>
      <c r="J166" s="1">
        <v>30</v>
      </c>
      <c r="K166" t="s">
        <v>2069</v>
      </c>
      <c r="M166">
        <v>0</v>
      </c>
      <c r="N166" t="s">
        <v>19</v>
      </c>
      <c r="O166" t="s">
        <v>2076</v>
      </c>
      <c r="P166">
        <v>0.84</v>
      </c>
      <c r="Q166" s="2">
        <v>0.84</v>
      </c>
      <c r="S166" s="5">
        <v>2.8000000000000001E-2</v>
      </c>
    </row>
    <row r="167" spans="1:19" x14ac:dyDescent="0.3">
      <c r="A167" t="s">
        <v>398</v>
      </c>
      <c r="B167" t="s">
        <v>399</v>
      </c>
      <c r="C167" t="s">
        <v>111</v>
      </c>
      <c r="D167" t="s">
        <v>80</v>
      </c>
      <c r="E167">
        <v>26</v>
      </c>
      <c r="F167" t="s">
        <v>27</v>
      </c>
      <c r="G167" t="s">
        <v>28</v>
      </c>
      <c r="H167" t="s">
        <v>18</v>
      </c>
      <c r="I167">
        <v>6</v>
      </c>
      <c r="J167" s="1">
        <v>40</v>
      </c>
      <c r="K167" t="s">
        <v>2068</v>
      </c>
      <c r="L167" t="s">
        <v>2067</v>
      </c>
      <c r="M167">
        <v>2.8</v>
      </c>
      <c r="N167" t="s">
        <v>53</v>
      </c>
      <c r="O167" t="s">
        <v>2077</v>
      </c>
      <c r="P167">
        <v>82</v>
      </c>
      <c r="Q167" s="2">
        <v>0.82</v>
      </c>
      <c r="R167">
        <v>0.82</v>
      </c>
      <c r="S167" s="5">
        <v>2.0500000000000001E-2</v>
      </c>
    </row>
    <row r="168" spans="1:19" x14ac:dyDescent="0.3">
      <c r="A168" t="s">
        <v>400</v>
      </c>
      <c r="B168" t="s">
        <v>401</v>
      </c>
      <c r="C168" t="s">
        <v>111</v>
      </c>
      <c r="D168" t="s">
        <v>80</v>
      </c>
      <c r="E168">
        <v>34</v>
      </c>
      <c r="F168" t="s">
        <v>87</v>
      </c>
      <c r="G168" t="s">
        <v>88</v>
      </c>
      <c r="H168" t="s">
        <v>33</v>
      </c>
      <c r="I168">
        <v>11</v>
      </c>
      <c r="J168" s="1">
        <v>50</v>
      </c>
      <c r="K168" t="s">
        <v>2065</v>
      </c>
      <c r="L168" t="s">
        <v>2071</v>
      </c>
      <c r="M168">
        <v>3.9</v>
      </c>
      <c r="N168">
        <v>1</v>
      </c>
      <c r="O168" t="s">
        <v>2076</v>
      </c>
      <c r="P168">
        <v>0.82</v>
      </c>
      <c r="Q168" s="2">
        <v>0.82</v>
      </c>
      <c r="S168" s="5">
        <v>1.6400000000000001E-2</v>
      </c>
    </row>
    <row r="169" spans="1:19" x14ac:dyDescent="0.3">
      <c r="A169" t="s">
        <v>402</v>
      </c>
      <c r="B169" t="s">
        <v>403</v>
      </c>
      <c r="C169" t="s">
        <v>15</v>
      </c>
      <c r="D169" t="s">
        <v>20</v>
      </c>
      <c r="E169">
        <v>55</v>
      </c>
      <c r="F169" t="s">
        <v>118</v>
      </c>
      <c r="G169" t="s">
        <v>119</v>
      </c>
      <c r="H169" t="s">
        <v>47</v>
      </c>
      <c r="I169">
        <v>14</v>
      </c>
      <c r="J169" s="1">
        <v>30</v>
      </c>
      <c r="K169" t="s">
        <v>2068</v>
      </c>
      <c r="L169" t="s">
        <v>2069</v>
      </c>
      <c r="M169">
        <v>1.2</v>
      </c>
      <c r="N169" t="s">
        <v>19</v>
      </c>
      <c r="O169" t="s">
        <v>2076</v>
      </c>
      <c r="P169">
        <v>0.91</v>
      </c>
      <c r="Q169" s="2">
        <v>0.91</v>
      </c>
      <c r="S169" s="5">
        <v>3.0333333333333299E-2</v>
      </c>
    </row>
    <row r="170" spans="1:19" x14ac:dyDescent="0.3">
      <c r="A170" t="s">
        <v>404</v>
      </c>
      <c r="B170" t="s">
        <v>405</v>
      </c>
      <c r="C170" t="s">
        <v>36</v>
      </c>
      <c r="D170" t="s">
        <v>20</v>
      </c>
      <c r="E170">
        <v>24</v>
      </c>
      <c r="F170" t="s">
        <v>83</v>
      </c>
      <c r="G170" t="s">
        <v>84</v>
      </c>
      <c r="H170" t="s">
        <v>52</v>
      </c>
      <c r="I170">
        <v>0</v>
      </c>
      <c r="J170" s="1">
        <v>100</v>
      </c>
      <c r="K170" t="s">
        <v>2070</v>
      </c>
      <c r="N170" t="s">
        <v>67</v>
      </c>
      <c r="O170" t="s">
        <v>2077</v>
      </c>
    </row>
    <row r="171" spans="1:19" x14ac:dyDescent="0.3">
      <c r="A171" t="s">
        <v>406</v>
      </c>
      <c r="B171" t="s">
        <v>407</v>
      </c>
      <c r="C171" t="s">
        <v>15</v>
      </c>
      <c r="D171" t="s">
        <v>20</v>
      </c>
      <c r="E171">
        <v>56</v>
      </c>
      <c r="F171" t="s">
        <v>188</v>
      </c>
      <c r="G171" t="s">
        <v>189</v>
      </c>
      <c r="H171" t="s">
        <v>33</v>
      </c>
      <c r="J171" s="1">
        <v>100</v>
      </c>
      <c r="K171" t="s">
        <v>2070</v>
      </c>
      <c r="M171">
        <v>3.2</v>
      </c>
      <c r="N171">
        <v>0</v>
      </c>
      <c r="O171" t="s">
        <v>2077</v>
      </c>
      <c r="P171">
        <v>0.62</v>
      </c>
      <c r="Q171" s="2">
        <v>0.62</v>
      </c>
      <c r="S171" s="5">
        <v>6.1999999999999998E-3</v>
      </c>
    </row>
    <row r="172" spans="1:19" x14ac:dyDescent="0.3">
      <c r="A172" t="s">
        <v>408</v>
      </c>
      <c r="B172" t="s">
        <v>409</v>
      </c>
      <c r="C172" t="s">
        <v>76</v>
      </c>
      <c r="D172" t="s">
        <v>80</v>
      </c>
      <c r="E172">
        <v>47</v>
      </c>
      <c r="F172" t="s">
        <v>158</v>
      </c>
      <c r="G172" t="s">
        <v>159</v>
      </c>
      <c r="H172" t="s">
        <v>60</v>
      </c>
      <c r="I172">
        <v>21</v>
      </c>
      <c r="J172" s="1">
        <v>100</v>
      </c>
      <c r="K172" t="s">
        <v>2065</v>
      </c>
      <c r="L172" t="s">
        <v>2070</v>
      </c>
      <c r="M172">
        <v>0</v>
      </c>
      <c r="N172" t="s">
        <v>53</v>
      </c>
      <c r="O172" t="s">
        <v>2077</v>
      </c>
    </row>
    <row r="173" spans="1:19" x14ac:dyDescent="0.3">
      <c r="A173" t="s">
        <v>410</v>
      </c>
      <c r="B173" t="s">
        <v>411</v>
      </c>
      <c r="C173" t="s">
        <v>76</v>
      </c>
      <c r="D173" t="s">
        <v>80</v>
      </c>
      <c r="E173">
        <v>52</v>
      </c>
      <c r="F173" t="s">
        <v>23</v>
      </c>
      <c r="G173" t="s">
        <v>24</v>
      </c>
      <c r="H173" t="s">
        <v>63</v>
      </c>
      <c r="I173">
        <v>0</v>
      </c>
      <c r="M173">
        <v>4.3</v>
      </c>
      <c r="N173">
        <v>0</v>
      </c>
      <c r="O173" t="s">
        <v>2077</v>
      </c>
      <c r="P173">
        <v>0.9</v>
      </c>
      <c r="Q173" s="2">
        <v>0.9</v>
      </c>
    </row>
    <row r="174" spans="1:19" x14ac:dyDescent="0.3">
      <c r="A174" t="s">
        <v>412</v>
      </c>
      <c r="B174" t="s">
        <v>413</v>
      </c>
      <c r="C174" t="s">
        <v>111</v>
      </c>
      <c r="D174" t="s">
        <v>80</v>
      </c>
      <c r="E174">
        <v>54</v>
      </c>
      <c r="F174" t="s">
        <v>58</v>
      </c>
      <c r="G174" t="s">
        <v>59</v>
      </c>
      <c r="H174" t="s">
        <v>108</v>
      </c>
      <c r="I174">
        <v>32</v>
      </c>
      <c r="J174" s="1">
        <v>20</v>
      </c>
      <c r="K174" t="s">
        <v>2065</v>
      </c>
      <c r="L174" t="s">
        <v>2072</v>
      </c>
      <c r="M174">
        <v>3.4</v>
      </c>
      <c r="N174" t="s">
        <v>67</v>
      </c>
      <c r="O174" t="s">
        <v>2077</v>
      </c>
    </row>
    <row r="175" spans="1:19" x14ac:dyDescent="0.3">
      <c r="A175" t="s">
        <v>414</v>
      </c>
      <c r="B175" t="s">
        <v>415</v>
      </c>
      <c r="C175" t="s">
        <v>76</v>
      </c>
      <c r="D175" t="s">
        <v>80</v>
      </c>
      <c r="E175">
        <v>53</v>
      </c>
      <c r="F175" t="s">
        <v>42</v>
      </c>
      <c r="G175" t="s">
        <v>43</v>
      </c>
      <c r="H175" t="s">
        <v>63</v>
      </c>
      <c r="I175">
        <v>21</v>
      </c>
      <c r="J175" s="1">
        <v>30</v>
      </c>
      <c r="K175" t="s">
        <v>2065</v>
      </c>
      <c r="L175" t="s">
        <v>2069</v>
      </c>
      <c r="M175">
        <v>4.2</v>
      </c>
      <c r="N175">
        <v>1</v>
      </c>
      <c r="O175" t="s">
        <v>2076</v>
      </c>
      <c r="P175">
        <v>73</v>
      </c>
      <c r="Q175" s="2">
        <v>0.73</v>
      </c>
      <c r="R175">
        <v>0.73</v>
      </c>
      <c r="S175" s="5">
        <v>2.4333333333333301E-2</v>
      </c>
    </row>
    <row r="176" spans="1:19" x14ac:dyDescent="0.3">
      <c r="A176" t="s">
        <v>416</v>
      </c>
      <c r="B176" t="s">
        <v>417</v>
      </c>
      <c r="C176" t="s">
        <v>111</v>
      </c>
      <c r="D176" t="s">
        <v>80</v>
      </c>
      <c r="E176">
        <v>45</v>
      </c>
      <c r="F176" t="s">
        <v>104</v>
      </c>
      <c r="G176" t="s">
        <v>105</v>
      </c>
      <c r="H176" t="s">
        <v>33</v>
      </c>
      <c r="I176">
        <v>17</v>
      </c>
      <c r="J176" s="1">
        <v>50</v>
      </c>
      <c r="K176" t="s">
        <v>2065</v>
      </c>
      <c r="L176" t="s">
        <v>2071</v>
      </c>
      <c r="M176">
        <v>4.7</v>
      </c>
      <c r="N176">
        <v>1</v>
      </c>
      <c r="O176" t="s">
        <v>2076</v>
      </c>
      <c r="P176">
        <v>0.73</v>
      </c>
      <c r="Q176" s="2">
        <v>0.73</v>
      </c>
      <c r="S176" s="5">
        <v>1.46E-2</v>
      </c>
    </row>
    <row r="177" spans="1:19" x14ac:dyDescent="0.3">
      <c r="A177" t="s">
        <v>418</v>
      </c>
      <c r="B177" t="s">
        <v>419</v>
      </c>
      <c r="C177" t="s">
        <v>76</v>
      </c>
      <c r="D177" t="s">
        <v>80</v>
      </c>
      <c r="E177">
        <v>49</v>
      </c>
      <c r="F177" t="s">
        <v>23</v>
      </c>
      <c r="G177" t="s">
        <v>24</v>
      </c>
      <c r="H177" t="s">
        <v>18</v>
      </c>
      <c r="I177">
        <v>13</v>
      </c>
      <c r="J177" s="1">
        <v>100</v>
      </c>
      <c r="K177" t="s">
        <v>2070</v>
      </c>
      <c r="M177">
        <v>4.2</v>
      </c>
      <c r="N177">
        <v>1</v>
      </c>
      <c r="O177" t="s">
        <v>2076</v>
      </c>
      <c r="P177">
        <v>0.84</v>
      </c>
      <c r="Q177" s="2">
        <v>0.84</v>
      </c>
      <c r="S177" s="5">
        <v>8.3999999999999995E-3</v>
      </c>
    </row>
    <row r="178" spans="1:19" x14ac:dyDescent="0.3">
      <c r="A178" t="s">
        <v>420</v>
      </c>
      <c r="B178" t="s">
        <v>421</v>
      </c>
      <c r="C178" t="s">
        <v>76</v>
      </c>
      <c r="D178" t="s">
        <v>80</v>
      </c>
      <c r="E178">
        <v>34</v>
      </c>
      <c r="F178" t="s">
        <v>50</v>
      </c>
      <c r="G178" t="s">
        <v>51</v>
      </c>
      <c r="H178" t="s">
        <v>63</v>
      </c>
      <c r="I178">
        <v>16</v>
      </c>
      <c r="J178" s="1">
        <v>20</v>
      </c>
      <c r="K178" t="s">
        <v>2065</v>
      </c>
      <c r="L178" t="s">
        <v>2072</v>
      </c>
      <c r="M178">
        <v>2.2999999999999998</v>
      </c>
      <c r="N178" t="s">
        <v>19</v>
      </c>
      <c r="O178" t="s">
        <v>2076</v>
      </c>
      <c r="P178">
        <v>0.93</v>
      </c>
      <c r="Q178" s="2">
        <v>0.93</v>
      </c>
      <c r="S178" s="5">
        <v>4.65E-2</v>
      </c>
    </row>
    <row r="179" spans="1:19" x14ac:dyDescent="0.3">
      <c r="A179" t="s">
        <v>422</v>
      </c>
      <c r="B179" t="s">
        <v>423</v>
      </c>
      <c r="C179" t="s">
        <v>36</v>
      </c>
      <c r="D179" t="s">
        <v>20</v>
      </c>
      <c r="E179">
        <v>27</v>
      </c>
      <c r="F179" t="s">
        <v>158</v>
      </c>
      <c r="G179" t="s">
        <v>159</v>
      </c>
      <c r="H179" t="s">
        <v>60</v>
      </c>
      <c r="I179">
        <v>4</v>
      </c>
      <c r="J179" s="1">
        <v>40</v>
      </c>
      <c r="K179" t="s">
        <v>2067</v>
      </c>
      <c r="M179">
        <v>4.4000000000000004</v>
      </c>
      <c r="N179">
        <v>0</v>
      </c>
      <c r="O179" t="s">
        <v>2077</v>
      </c>
      <c r="P179">
        <v>0.92</v>
      </c>
      <c r="Q179" s="2">
        <v>0.92</v>
      </c>
      <c r="S179" s="5">
        <v>2.3E-2</v>
      </c>
    </row>
    <row r="180" spans="1:19" x14ac:dyDescent="0.3">
      <c r="A180" t="s">
        <v>424</v>
      </c>
      <c r="B180" t="s">
        <v>425</v>
      </c>
      <c r="C180" t="s">
        <v>36</v>
      </c>
      <c r="D180" t="s">
        <v>20</v>
      </c>
      <c r="E180">
        <v>56</v>
      </c>
      <c r="F180" t="s">
        <v>104</v>
      </c>
      <c r="G180" t="s">
        <v>105</v>
      </c>
      <c r="H180" t="s">
        <v>33</v>
      </c>
      <c r="I180">
        <v>9</v>
      </c>
      <c r="J180" s="1">
        <v>40</v>
      </c>
      <c r="K180" t="s">
        <v>2068</v>
      </c>
      <c r="L180" t="s">
        <v>2067</v>
      </c>
      <c r="M180">
        <v>2.6</v>
      </c>
      <c r="N180">
        <v>0</v>
      </c>
      <c r="O180" t="s">
        <v>2077</v>
      </c>
      <c r="P180">
        <v>0.61</v>
      </c>
      <c r="Q180" s="2">
        <v>0.61</v>
      </c>
      <c r="S180" s="5">
        <v>1.525E-2</v>
      </c>
    </row>
    <row r="181" spans="1:19" x14ac:dyDescent="0.3">
      <c r="A181" t="s">
        <v>426</v>
      </c>
      <c r="B181" t="s">
        <v>427</v>
      </c>
      <c r="C181" t="s">
        <v>36</v>
      </c>
      <c r="D181" t="s">
        <v>20</v>
      </c>
      <c r="E181">
        <v>34</v>
      </c>
      <c r="F181" t="s">
        <v>23</v>
      </c>
      <c r="G181" t="s">
        <v>24</v>
      </c>
      <c r="H181" t="s">
        <v>108</v>
      </c>
      <c r="I181">
        <v>11</v>
      </c>
      <c r="M181">
        <v>1.2</v>
      </c>
      <c r="N181">
        <v>1</v>
      </c>
      <c r="O181" t="s">
        <v>2076</v>
      </c>
    </row>
    <row r="182" spans="1:19" x14ac:dyDescent="0.3">
      <c r="A182" t="s">
        <v>428</v>
      </c>
      <c r="B182" t="s">
        <v>429</v>
      </c>
      <c r="C182" t="s">
        <v>36</v>
      </c>
      <c r="D182" t="s">
        <v>20</v>
      </c>
      <c r="E182">
        <v>54</v>
      </c>
      <c r="F182" t="s">
        <v>58</v>
      </c>
      <c r="G182" t="s">
        <v>59</v>
      </c>
      <c r="H182" t="s">
        <v>66</v>
      </c>
      <c r="I182">
        <v>29</v>
      </c>
      <c r="J182" s="1">
        <v>40</v>
      </c>
      <c r="K182" t="s">
        <v>2068</v>
      </c>
      <c r="L182" t="s">
        <v>2067</v>
      </c>
      <c r="M182">
        <v>3.1</v>
      </c>
      <c r="N182">
        <v>1</v>
      </c>
      <c r="O182" t="s">
        <v>2076</v>
      </c>
    </row>
    <row r="183" spans="1:19" x14ac:dyDescent="0.3">
      <c r="A183" t="s">
        <v>430</v>
      </c>
      <c r="B183" t="s">
        <v>431</v>
      </c>
      <c r="C183" t="s">
        <v>15</v>
      </c>
      <c r="D183" t="s">
        <v>20</v>
      </c>
      <c r="E183">
        <v>60</v>
      </c>
      <c r="F183" t="s">
        <v>77</v>
      </c>
      <c r="G183" t="s">
        <v>78</v>
      </c>
      <c r="H183" t="s">
        <v>108</v>
      </c>
      <c r="J183" s="1">
        <v>20</v>
      </c>
      <c r="K183" t="s">
        <v>2072</v>
      </c>
      <c r="M183">
        <v>2.2000000000000002</v>
      </c>
      <c r="N183" t="b">
        <v>0</v>
      </c>
      <c r="O183" t="s">
        <v>2077</v>
      </c>
      <c r="P183">
        <v>0.6</v>
      </c>
      <c r="Q183" s="2">
        <v>0.6</v>
      </c>
      <c r="S183" s="5">
        <v>0.03</v>
      </c>
    </row>
    <row r="184" spans="1:19" x14ac:dyDescent="0.3">
      <c r="A184" t="s">
        <v>432</v>
      </c>
      <c r="B184" t="s">
        <v>433</v>
      </c>
      <c r="C184" t="s">
        <v>15</v>
      </c>
      <c r="D184" t="s">
        <v>20</v>
      </c>
      <c r="E184">
        <v>50</v>
      </c>
      <c r="F184" t="s">
        <v>23</v>
      </c>
      <c r="G184" t="s">
        <v>24</v>
      </c>
      <c r="H184" t="s">
        <v>39</v>
      </c>
      <c r="I184">
        <v>22</v>
      </c>
      <c r="J184" s="1">
        <v>100</v>
      </c>
      <c r="K184" t="s">
        <v>2070</v>
      </c>
      <c r="M184">
        <v>4.0999999999999996</v>
      </c>
      <c r="N184" t="s">
        <v>53</v>
      </c>
      <c r="O184" t="s">
        <v>2077</v>
      </c>
      <c r="P184">
        <v>0.62</v>
      </c>
      <c r="Q184" s="2">
        <v>0.62</v>
      </c>
      <c r="S184" s="5">
        <v>6.1999999999999998E-3</v>
      </c>
    </row>
    <row r="185" spans="1:19" x14ac:dyDescent="0.3">
      <c r="A185" t="s">
        <v>434</v>
      </c>
      <c r="B185" t="s">
        <v>435</v>
      </c>
      <c r="C185" t="s">
        <v>36</v>
      </c>
      <c r="D185" t="s">
        <v>20</v>
      </c>
      <c r="E185">
        <v>35</v>
      </c>
      <c r="F185" t="s">
        <v>27</v>
      </c>
      <c r="G185" t="s">
        <v>28</v>
      </c>
      <c r="H185" t="s">
        <v>33</v>
      </c>
      <c r="J185" s="1">
        <v>100</v>
      </c>
      <c r="K185" t="s">
        <v>2068</v>
      </c>
      <c r="L185" t="s">
        <v>2070</v>
      </c>
      <c r="N185">
        <v>0</v>
      </c>
      <c r="O185" t="s">
        <v>2077</v>
      </c>
      <c r="P185">
        <v>0.84</v>
      </c>
      <c r="Q185" s="2">
        <v>0.84</v>
      </c>
      <c r="S185" s="5">
        <v>8.3999999999999995E-3</v>
      </c>
    </row>
    <row r="186" spans="1:19" x14ac:dyDescent="0.3">
      <c r="A186" t="s">
        <v>436</v>
      </c>
      <c r="B186" t="s">
        <v>437</v>
      </c>
      <c r="C186" t="s">
        <v>15</v>
      </c>
      <c r="D186" t="s">
        <v>20</v>
      </c>
      <c r="E186">
        <v>44</v>
      </c>
      <c r="F186" t="s">
        <v>188</v>
      </c>
      <c r="G186" t="s">
        <v>189</v>
      </c>
      <c r="H186" t="s">
        <v>39</v>
      </c>
      <c r="M186">
        <v>1.4</v>
      </c>
      <c r="N186">
        <v>0</v>
      </c>
      <c r="O186" t="s">
        <v>2077</v>
      </c>
      <c r="P186">
        <v>0.93</v>
      </c>
      <c r="Q186" s="2">
        <v>0.93</v>
      </c>
    </row>
    <row r="187" spans="1:19" x14ac:dyDescent="0.3">
      <c r="A187" t="s">
        <v>438</v>
      </c>
      <c r="B187" t="s">
        <v>439</v>
      </c>
      <c r="C187" t="s">
        <v>15</v>
      </c>
      <c r="D187" t="s">
        <v>20</v>
      </c>
      <c r="E187">
        <v>48</v>
      </c>
      <c r="F187" t="s">
        <v>91</v>
      </c>
      <c r="G187" t="s">
        <v>59</v>
      </c>
      <c r="H187" t="s">
        <v>47</v>
      </c>
      <c r="I187">
        <v>15</v>
      </c>
      <c r="J187" s="1">
        <v>50</v>
      </c>
      <c r="K187" t="s">
        <v>2068</v>
      </c>
      <c r="L187" t="s">
        <v>2071</v>
      </c>
      <c r="M187">
        <v>1</v>
      </c>
      <c r="N187" t="s">
        <v>96</v>
      </c>
      <c r="O187" t="s">
        <v>2076</v>
      </c>
      <c r="P187">
        <v>0.64</v>
      </c>
      <c r="Q187" s="2">
        <v>0.64</v>
      </c>
      <c r="S187" s="5">
        <v>1.2800000000000001E-2</v>
      </c>
    </row>
    <row r="188" spans="1:19" x14ac:dyDescent="0.3">
      <c r="A188" t="s">
        <v>440</v>
      </c>
      <c r="B188" t="s">
        <v>441</v>
      </c>
      <c r="C188" t="s">
        <v>36</v>
      </c>
      <c r="D188" t="s">
        <v>20</v>
      </c>
      <c r="E188">
        <v>30</v>
      </c>
      <c r="F188" t="s">
        <v>42</v>
      </c>
      <c r="G188" t="s">
        <v>43</v>
      </c>
      <c r="H188" t="s">
        <v>18</v>
      </c>
      <c r="I188">
        <v>4</v>
      </c>
      <c r="J188" s="1">
        <v>20</v>
      </c>
      <c r="K188" t="s">
        <v>2065</v>
      </c>
      <c r="L188" t="s">
        <v>2072</v>
      </c>
      <c r="M188">
        <v>3.3</v>
      </c>
      <c r="N188" t="s">
        <v>67</v>
      </c>
      <c r="O188" t="s">
        <v>2077</v>
      </c>
    </row>
    <row r="189" spans="1:19" x14ac:dyDescent="0.3">
      <c r="A189" t="s">
        <v>442</v>
      </c>
      <c r="B189" t="s">
        <v>443</v>
      </c>
      <c r="C189" t="s">
        <v>15</v>
      </c>
      <c r="D189" t="s">
        <v>20</v>
      </c>
      <c r="E189">
        <v>41</v>
      </c>
      <c r="F189" t="s">
        <v>58</v>
      </c>
      <c r="G189" t="s">
        <v>59</v>
      </c>
      <c r="H189" t="s">
        <v>66</v>
      </c>
      <c r="I189">
        <v>0</v>
      </c>
      <c r="J189" s="1">
        <v>20</v>
      </c>
      <c r="K189" t="s">
        <v>2065</v>
      </c>
      <c r="L189" t="s">
        <v>2072</v>
      </c>
      <c r="M189">
        <v>3.1</v>
      </c>
      <c r="N189">
        <v>0</v>
      </c>
      <c r="O189" t="s">
        <v>2077</v>
      </c>
      <c r="P189">
        <v>90</v>
      </c>
      <c r="Q189" s="2">
        <v>0.9</v>
      </c>
      <c r="R189">
        <v>0.9</v>
      </c>
      <c r="S189" s="5">
        <v>4.4999999999999998E-2</v>
      </c>
    </row>
    <row r="190" spans="1:19" x14ac:dyDescent="0.3">
      <c r="A190" t="s">
        <v>444</v>
      </c>
      <c r="B190" t="s">
        <v>445</v>
      </c>
      <c r="C190" t="s">
        <v>36</v>
      </c>
      <c r="D190" t="s">
        <v>20</v>
      </c>
      <c r="E190">
        <v>37</v>
      </c>
      <c r="F190" t="s">
        <v>27</v>
      </c>
      <c r="G190" t="s">
        <v>28</v>
      </c>
      <c r="H190" t="s">
        <v>79</v>
      </c>
      <c r="I190">
        <v>12</v>
      </c>
      <c r="M190">
        <v>4.9000000000000004</v>
      </c>
      <c r="N190">
        <v>1</v>
      </c>
      <c r="O190" t="s">
        <v>2076</v>
      </c>
      <c r="P190">
        <v>0.8</v>
      </c>
      <c r="Q190" s="2">
        <v>0.8</v>
      </c>
    </row>
    <row r="191" spans="1:19" x14ac:dyDescent="0.3">
      <c r="A191" t="s">
        <v>446</v>
      </c>
      <c r="B191" t="s">
        <v>447</v>
      </c>
      <c r="C191" t="s">
        <v>76</v>
      </c>
      <c r="D191" t="s">
        <v>80</v>
      </c>
      <c r="F191" t="s">
        <v>118</v>
      </c>
      <c r="G191" t="s">
        <v>119</v>
      </c>
      <c r="H191" t="s">
        <v>47</v>
      </c>
      <c r="I191">
        <v>4</v>
      </c>
      <c r="M191">
        <v>2.5</v>
      </c>
      <c r="P191">
        <v>0.7</v>
      </c>
      <c r="Q191" s="2">
        <v>0.7</v>
      </c>
    </row>
    <row r="192" spans="1:19" x14ac:dyDescent="0.3">
      <c r="A192" t="s">
        <v>448</v>
      </c>
      <c r="B192" t="s">
        <v>449</v>
      </c>
      <c r="C192" t="s">
        <v>76</v>
      </c>
      <c r="D192" t="s">
        <v>80</v>
      </c>
      <c r="E192">
        <v>55</v>
      </c>
      <c r="F192" t="s">
        <v>46</v>
      </c>
      <c r="G192" t="s">
        <v>17</v>
      </c>
      <c r="H192" t="s">
        <v>52</v>
      </c>
      <c r="I192">
        <v>12</v>
      </c>
      <c r="J192" s="1">
        <v>100</v>
      </c>
      <c r="K192" t="s">
        <v>2070</v>
      </c>
      <c r="M192">
        <v>1.8</v>
      </c>
      <c r="N192">
        <v>1</v>
      </c>
      <c r="O192" t="s">
        <v>2076</v>
      </c>
    </row>
    <row r="193" spans="1:19" x14ac:dyDescent="0.3">
      <c r="A193" t="s">
        <v>450</v>
      </c>
      <c r="B193" t="s">
        <v>451</v>
      </c>
      <c r="C193" t="s">
        <v>76</v>
      </c>
      <c r="D193" t="s">
        <v>80</v>
      </c>
      <c r="F193" t="s">
        <v>188</v>
      </c>
      <c r="G193" t="s">
        <v>189</v>
      </c>
      <c r="H193" t="s">
        <v>79</v>
      </c>
      <c r="I193">
        <v>0</v>
      </c>
      <c r="J193" s="1">
        <v>40</v>
      </c>
      <c r="K193" t="s">
        <v>2065</v>
      </c>
      <c r="L193" t="s">
        <v>2067</v>
      </c>
      <c r="M193">
        <v>0</v>
      </c>
      <c r="N193" t="s">
        <v>67</v>
      </c>
      <c r="O193" t="s">
        <v>2077</v>
      </c>
      <c r="P193">
        <v>0.97</v>
      </c>
      <c r="Q193" s="2">
        <v>0.97</v>
      </c>
      <c r="S193" s="5">
        <v>2.4250000000000001E-2</v>
      </c>
    </row>
    <row r="194" spans="1:19" x14ac:dyDescent="0.3">
      <c r="A194" t="s">
        <v>452</v>
      </c>
      <c r="B194" t="s">
        <v>453</v>
      </c>
      <c r="C194" t="s">
        <v>36</v>
      </c>
      <c r="D194" t="s">
        <v>20</v>
      </c>
      <c r="E194">
        <v>53</v>
      </c>
      <c r="F194" t="s">
        <v>254</v>
      </c>
      <c r="G194" t="s">
        <v>255</v>
      </c>
      <c r="H194" t="s">
        <v>108</v>
      </c>
      <c r="I194">
        <v>4</v>
      </c>
      <c r="J194" s="1">
        <v>30</v>
      </c>
      <c r="K194" t="s">
        <v>2069</v>
      </c>
      <c r="M194">
        <v>4.7</v>
      </c>
      <c r="N194" t="s">
        <v>67</v>
      </c>
      <c r="O194" t="s">
        <v>2077</v>
      </c>
      <c r="P194">
        <v>0.99</v>
      </c>
      <c r="Q194" s="2">
        <v>0.99</v>
      </c>
      <c r="S194" s="5">
        <v>3.3000000000000002E-2</v>
      </c>
    </row>
    <row r="195" spans="1:19" x14ac:dyDescent="0.3">
      <c r="A195" t="s">
        <v>454</v>
      </c>
      <c r="B195" t="s">
        <v>455</v>
      </c>
      <c r="C195" t="s">
        <v>15</v>
      </c>
      <c r="D195" t="s">
        <v>20</v>
      </c>
      <c r="E195">
        <v>31</v>
      </c>
      <c r="F195" t="s">
        <v>87</v>
      </c>
      <c r="G195" t="s">
        <v>88</v>
      </c>
      <c r="H195" t="s">
        <v>79</v>
      </c>
      <c r="I195">
        <v>8</v>
      </c>
      <c r="J195" s="1">
        <v>40</v>
      </c>
      <c r="K195" t="s">
        <v>2067</v>
      </c>
      <c r="M195">
        <v>4.4000000000000004</v>
      </c>
      <c r="N195">
        <v>0</v>
      </c>
      <c r="O195" t="s">
        <v>2077</v>
      </c>
      <c r="P195">
        <v>0.7</v>
      </c>
      <c r="Q195" s="2">
        <v>0.7</v>
      </c>
      <c r="S195" s="5">
        <v>1.7500000000000002E-2</v>
      </c>
    </row>
    <row r="196" spans="1:19" x14ac:dyDescent="0.3">
      <c r="A196" t="s">
        <v>456</v>
      </c>
      <c r="B196" t="s">
        <v>457</v>
      </c>
      <c r="C196" t="s">
        <v>15</v>
      </c>
      <c r="D196" t="s">
        <v>20</v>
      </c>
      <c r="E196">
        <v>20</v>
      </c>
      <c r="F196" t="s">
        <v>87</v>
      </c>
      <c r="G196" t="s">
        <v>88</v>
      </c>
      <c r="H196" t="s">
        <v>33</v>
      </c>
      <c r="I196">
        <v>0</v>
      </c>
      <c r="J196" s="1">
        <v>20</v>
      </c>
      <c r="K196" t="s">
        <v>2072</v>
      </c>
      <c r="M196">
        <v>3.9</v>
      </c>
      <c r="N196" t="b">
        <v>0</v>
      </c>
      <c r="O196" t="s">
        <v>2077</v>
      </c>
    </row>
    <row r="197" spans="1:19" x14ac:dyDescent="0.3">
      <c r="A197" t="s">
        <v>458</v>
      </c>
      <c r="B197" t="s">
        <v>459</v>
      </c>
      <c r="C197" t="s">
        <v>15</v>
      </c>
      <c r="D197" t="s">
        <v>20</v>
      </c>
      <c r="E197">
        <v>33</v>
      </c>
      <c r="F197" t="s">
        <v>58</v>
      </c>
      <c r="G197" t="s">
        <v>59</v>
      </c>
      <c r="H197" t="s">
        <v>60</v>
      </c>
      <c r="I197">
        <v>6</v>
      </c>
      <c r="J197" s="1">
        <v>50</v>
      </c>
      <c r="K197" t="s">
        <v>2068</v>
      </c>
      <c r="L197" t="s">
        <v>2071</v>
      </c>
      <c r="M197">
        <v>3.1</v>
      </c>
      <c r="N197" t="s">
        <v>53</v>
      </c>
      <c r="O197" t="s">
        <v>2077</v>
      </c>
    </row>
    <row r="198" spans="1:19" x14ac:dyDescent="0.3">
      <c r="A198" t="s">
        <v>460</v>
      </c>
      <c r="B198" t="s">
        <v>461</v>
      </c>
      <c r="C198" t="s">
        <v>111</v>
      </c>
      <c r="D198" t="s">
        <v>80</v>
      </c>
      <c r="E198">
        <v>33</v>
      </c>
      <c r="F198" t="s">
        <v>77</v>
      </c>
      <c r="G198" t="s">
        <v>78</v>
      </c>
      <c r="H198" t="s">
        <v>63</v>
      </c>
      <c r="I198">
        <v>0</v>
      </c>
      <c r="J198" s="1">
        <v>100</v>
      </c>
      <c r="K198" t="s">
        <v>2065</v>
      </c>
      <c r="L198" t="s">
        <v>2070</v>
      </c>
      <c r="M198">
        <v>1.7</v>
      </c>
      <c r="N198">
        <v>1</v>
      </c>
      <c r="O198" t="s">
        <v>2076</v>
      </c>
      <c r="P198">
        <v>95</v>
      </c>
      <c r="Q198" s="2">
        <v>0.95</v>
      </c>
      <c r="R198">
        <v>0.95</v>
      </c>
      <c r="S198" s="5">
        <v>9.4999999999999998E-3</v>
      </c>
    </row>
    <row r="199" spans="1:19" x14ac:dyDescent="0.3">
      <c r="A199" t="s">
        <v>462</v>
      </c>
      <c r="B199" t="s">
        <v>463</v>
      </c>
      <c r="C199" t="s">
        <v>15</v>
      </c>
      <c r="D199" t="s">
        <v>20</v>
      </c>
      <c r="E199">
        <v>31</v>
      </c>
      <c r="F199" t="s">
        <v>87</v>
      </c>
      <c r="G199" t="s">
        <v>88</v>
      </c>
      <c r="H199" t="s">
        <v>52</v>
      </c>
      <c r="I199">
        <v>2</v>
      </c>
      <c r="J199" s="1">
        <v>75</v>
      </c>
      <c r="K199" t="s">
        <v>2065</v>
      </c>
      <c r="L199" t="s">
        <v>2066</v>
      </c>
      <c r="M199">
        <v>2.8</v>
      </c>
      <c r="N199" t="b">
        <v>0</v>
      </c>
      <c r="O199" t="s">
        <v>2077</v>
      </c>
      <c r="P199">
        <v>0.6</v>
      </c>
      <c r="Q199" s="2">
        <v>0.6</v>
      </c>
      <c r="S199" s="5">
        <v>8.0000000000000002E-3</v>
      </c>
    </row>
    <row r="200" spans="1:19" x14ac:dyDescent="0.3">
      <c r="A200" t="s">
        <v>464</v>
      </c>
      <c r="B200" t="s">
        <v>465</v>
      </c>
      <c r="C200" t="s">
        <v>36</v>
      </c>
      <c r="D200" t="s">
        <v>20</v>
      </c>
      <c r="F200" t="s">
        <v>46</v>
      </c>
      <c r="G200" t="s">
        <v>17</v>
      </c>
      <c r="H200" t="s">
        <v>63</v>
      </c>
      <c r="I200">
        <v>6</v>
      </c>
      <c r="J200" s="1">
        <v>100</v>
      </c>
      <c r="K200" t="s">
        <v>2070</v>
      </c>
      <c r="M200">
        <v>1.5</v>
      </c>
      <c r="N200" t="b">
        <v>0</v>
      </c>
      <c r="O200" t="s">
        <v>2077</v>
      </c>
    </row>
    <row r="201" spans="1:19" x14ac:dyDescent="0.3">
      <c r="A201" t="s">
        <v>466</v>
      </c>
      <c r="B201" t="s">
        <v>467</v>
      </c>
      <c r="C201" t="s">
        <v>76</v>
      </c>
      <c r="D201" t="s">
        <v>80</v>
      </c>
      <c r="E201">
        <v>36</v>
      </c>
      <c r="F201" t="s">
        <v>42</v>
      </c>
      <c r="G201" t="s">
        <v>43</v>
      </c>
      <c r="H201" t="s">
        <v>63</v>
      </c>
      <c r="I201">
        <v>0</v>
      </c>
      <c r="J201" s="1">
        <v>75</v>
      </c>
      <c r="K201" t="s">
        <v>2066</v>
      </c>
      <c r="M201">
        <v>1.5</v>
      </c>
      <c r="P201">
        <v>0.73</v>
      </c>
      <c r="Q201" s="2">
        <v>0.73</v>
      </c>
      <c r="S201" s="5">
        <v>9.73333333333333E-3</v>
      </c>
    </row>
    <row r="202" spans="1:19" x14ac:dyDescent="0.3">
      <c r="A202" t="s">
        <v>468</v>
      </c>
      <c r="B202" t="s">
        <v>469</v>
      </c>
      <c r="C202" t="s">
        <v>111</v>
      </c>
      <c r="D202" t="s">
        <v>80</v>
      </c>
      <c r="E202">
        <v>51</v>
      </c>
      <c r="F202" t="s">
        <v>31</v>
      </c>
      <c r="G202" t="s">
        <v>32</v>
      </c>
      <c r="H202" t="s">
        <v>108</v>
      </c>
      <c r="I202">
        <v>33</v>
      </c>
      <c r="J202" s="1">
        <v>75</v>
      </c>
      <c r="K202" t="s">
        <v>2065</v>
      </c>
      <c r="L202" t="s">
        <v>2066</v>
      </c>
      <c r="M202">
        <v>0</v>
      </c>
      <c r="N202" t="b">
        <v>1</v>
      </c>
      <c r="O202" t="s">
        <v>2076</v>
      </c>
    </row>
    <row r="203" spans="1:19" x14ac:dyDescent="0.3">
      <c r="A203" t="s">
        <v>470</v>
      </c>
      <c r="B203" t="s">
        <v>471</v>
      </c>
      <c r="C203" t="s">
        <v>15</v>
      </c>
      <c r="D203" t="s">
        <v>20</v>
      </c>
      <c r="E203">
        <v>44</v>
      </c>
      <c r="F203" t="s">
        <v>58</v>
      </c>
      <c r="G203" t="s">
        <v>59</v>
      </c>
      <c r="H203" t="s">
        <v>79</v>
      </c>
      <c r="I203">
        <v>1</v>
      </c>
      <c r="M203">
        <v>4.8</v>
      </c>
      <c r="N203" t="s">
        <v>53</v>
      </c>
      <c r="O203" t="s">
        <v>2077</v>
      </c>
      <c r="P203">
        <v>0.97</v>
      </c>
      <c r="Q203" s="2">
        <v>0.97</v>
      </c>
    </row>
    <row r="204" spans="1:19" x14ac:dyDescent="0.3">
      <c r="A204" t="s">
        <v>472</v>
      </c>
      <c r="B204" t="s">
        <v>473</v>
      </c>
      <c r="C204" t="s">
        <v>15</v>
      </c>
      <c r="D204" t="s">
        <v>20</v>
      </c>
      <c r="E204">
        <v>59</v>
      </c>
      <c r="F204" t="s">
        <v>83</v>
      </c>
      <c r="G204" t="s">
        <v>84</v>
      </c>
      <c r="H204" t="s">
        <v>60</v>
      </c>
      <c r="I204">
        <v>13</v>
      </c>
      <c r="J204" s="1">
        <v>40</v>
      </c>
      <c r="K204" t="s">
        <v>2067</v>
      </c>
      <c r="M204">
        <v>2.4</v>
      </c>
      <c r="N204" t="s">
        <v>67</v>
      </c>
      <c r="O204" t="s">
        <v>2077</v>
      </c>
      <c r="P204">
        <v>65</v>
      </c>
      <c r="Q204" s="2">
        <v>0.65</v>
      </c>
      <c r="R204">
        <v>0.65</v>
      </c>
      <c r="S204" s="5">
        <v>1.6250000000000001E-2</v>
      </c>
    </row>
    <row r="205" spans="1:19" x14ac:dyDescent="0.3">
      <c r="A205" t="s">
        <v>474</v>
      </c>
      <c r="B205" t="s">
        <v>475</v>
      </c>
      <c r="C205" t="s">
        <v>76</v>
      </c>
      <c r="D205" t="s">
        <v>80</v>
      </c>
      <c r="E205">
        <v>43</v>
      </c>
      <c r="F205" t="s">
        <v>16</v>
      </c>
      <c r="G205" t="s">
        <v>17</v>
      </c>
      <c r="H205" t="s">
        <v>18</v>
      </c>
      <c r="I205">
        <v>2</v>
      </c>
      <c r="M205">
        <v>1.8</v>
      </c>
      <c r="N205" t="s">
        <v>67</v>
      </c>
      <c r="O205" t="s">
        <v>2077</v>
      </c>
      <c r="P205">
        <v>0.61</v>
      </c>
      <c r="Q205" s="2">
        <v>0.61</v>
      </c>
    </row>
    <row r="206" spans="1:19" x14ac:dyDescent="0.3">
      <c r="A206" t="s">
        <v>476</v>
      </c>
      <c r="B206" t="s">
        <v>477</v>
      </c>
      <c r="C206" t="s">
        <v>76</v>
      </c>
      <c r="D206" t="s">
        <v>80</v>
      </c>
      <c r="E206">
        <v>34</v>
      </c>
      <c r="F206" t="s">
        <v>16</v>
      </c>
      <c r="G206" t="s">
        <v>17</v>
      </c>
      <c r="H206" t="s">
        <v>39</v>
      </c>
      <c r="I206">
        <v>12</v>
      </c>
      <c r="J206" s="1">
        <v>40</v>
      </c>
      <c r="K206" t="s">
        <v>2067</v>
      </c>
      <c r="M206">
        <v>2.4</v>
      </c>
      <c r="N206">
        <v>1</v>
      </c>
      <c r="O206" t="s">
        <v>2076</v>
      </c>
      <c r="P206">
        <v>64</v>
      </c>
      <c r="Q206" s="2">
        <v>0.64</v>
      </c>
      <c r="R206">
        <v>0.64</v>
      </c>
      <c r="S206" s="5">
        <v>1.6E-2</v>
      </c>
    </row>
    <row r="207" spans="1:19" x14ac:dyDescent="0.3">
      <c r="A207" t="s">
        <v>478</v>
      </c>
      <c r="B207" t="s">
        <v>479</v>
      </c>
      <c r="C207" t="s">
        <v>15</v>
      </c>
      <c r="D207" t="s">
        <v>20</v>
      </c>
      <c r="E207">
        <v>22</v>
      </c>
      <c r="F207" t="s">
        <v>158</v>
      </c>
      <c r="G207" t="s">
        <v>159</v>
      </c>
      <c r="H207" t="s">
        <v>33</v>
      </c>
      <c r="I207">
        <v>2</v>
      </c>
      <c r="J207" s="1">
        <v>20</v>
      </c>
      <c r="K207" t="s">
        <v>2068</v>
      </c>
      <c r="L207" t="s">
        <v>2072</v>
      </c>
      <c r="N207" t="s">
        <v>67</v>
      </c>
      <c r="O207" t="s">
        <v>2077</v>
      </c>
    </row>
    <row r="208" spans="1:19" x14ac:dyDescent="0.3">
      <c r="A208" t="s">
        <v>480</v>
      </c>
      <c r="B208" t="s">
        <v>481</v>
      </c>
      <c r="C208" t="s">
        <v>15</v>
      </c>
      <c r="D208" t="s">
        <v>20</v>
      </c>
      <c r="E208">
        <v>46</v>
      </c>
      <c r="F208" t="s">
        <v>31</v>
      </c>
      <c r="G208" t="s">
        <v>32</v>
      </c>
      <c r="H208" t="s">
        <v>108</v>
      </c>
      <c r="I208">
        <v>16</v>
      </c>
      <c r="J208" s="1">
        <v>20</v>
      </c>
      <c r="K208" t="s">
        <v>2072</v>
      </c>
      <c r="M208">
        <v>4.8</v>
      </c>
      <c r="N208">
        <v>1</v>
      </c>
      <c r="O208" t="s">
        <v>2076</v>
      </c>
      <c r="P208">
        <v>0.86</v>
      </c>
      <c r="Q208" s="2">
        <v>0.86</v>
      </c>
      <c r="S208" s="5">
        <v>4.2999999999999997E-2</v>
      </c>
    </row>
    <row r="209" spans="1:19" x14ac:dyDescent="0.3">
      <c r="A209" t="s">
        <v>482</v>
      </c>
      <c r="B209" t="s">
        <v>483</v>
      </c>
      <c r="C209" t="s">
        <v>76</v>
      </c>
      <c r="D209" t="s">
        <v>80</v>
      </c>
      <c r="E209">
        <v>59</v>
      </c>
      <c r="F209" t="s">
        <v>91</v>
      </c>
      <c r="G209" t="s">
        <v>59</v>
      </c>
      <c r="H209" t="s">
        <v>79</v>
      </c>
      <c r="I209">
        <v>14</v>
      </c>
      <c r="J209" s="1">
        <v>30</v>
      </c>
      <c r="K209" t="s">
        <v>2069</v>
      </c>
      <c r="M209">
        <v>3.8</v>
      </c>
      <c r="P209">
        <v>0.66</v>
      </c>
      <c r="Q209" s="2">
        <v>0.66</v>
      </c>
      <c r="S209" s="5">
        <v>2.1999999999999999E-2</v>
      </c>
    </row>
    <row r="210" spans="1:19" x14ac:dyDescent="0.3">
      <c r="A210" t="s">
        <v>484</v>
      </c>
      <c r="B210" t="s">
        <v>485</v>
      </c>
      <c r="C210" t="s">
        <v>111</v>
      </c>
      <c r="D210" t="s">
        <v>80</v>
      </c>
      <c r="F210" t="s">
        <v>46</v>
      </c>
      <c r="G210" t="s">
        <v>17</v>
      </c>
      <c r="H210" t="s">
        <v>18</v>
      </c>
      <c r="I210">
        <v>9</v>
      </c>
      <c r="J210" s="1">
        <v>100</v>
      </c>
      <c r="K210" t="s">
        <v>2065</v>
      </c>
      <c r="L210" t="s">
        <v>2070</v>
      </c>
      <c r="M210">
        <v>4.5</v>
      </c>
      <c r="N210" t="s">
        <v>96</v>
      </c>
      <c r="O210" t="s">
        <v>2076</v>
      </c>
      <c r="P210">
        <v>83</v>
      </c>
      <c r="Q210" s="2">
        <v>0.83</v>
      </c>
      <c r="R210">
        <v>0.83</v>
      </c>
      <c r="S210" s="5">
        <v>8.3000000000000001E-3</v>
      </c>
    </row>
    <row r="211" spans="1:19" x14ac:dyDescent="0.3">
      <c r="A211" t="s">
        <v>486</v>
      </c>
      <c r="B211" t="s">
        <v>487</v>
      </c>
      <c r="C211" t="s">
        <v>36</v>
      </c>
      <c r="D211" t="s">
        <v>20</v>
      </c>
      <c r="E211">
        <v>39</v>
      </c>
      <c r="F211" t="s">
        <v>27</v>
      </c>
      <c r="G211" t="s">
        <v>28</v>
      </c>
      <c r="H211" t="s">
        <v>60</v>
      </c>
      <c r="J211" s="1">
        <v>75</v>
      </c>
      <c r="K211" t="s">
        <v>2068</v>
      </c>
      <c r="L211" t="s">
        <v>2066</v>
      </c>
      <c r="M211">
        <v>3.6</v>
      </c>
      <c r="N211" t="s">
        <v>96</v>
      </c>
      <c r="O211" t="s">
        <v>2076</v>
      </c>
      <c r="P211">
        <v>0.87</v>
      </c>
      <c r="Q211" s="2">
        <v>0.87</v>
      </c>
      <c r="S211" s="5">
        <v>1.1599999999999999E-2</v>
      </c>
    </row>
    <row r="212" spans="1:19" x14ac:dyDescent="0.3">
      <c r="A212" t="s">
        <v>488</v>
      </c>
      <c r="B212" t="s">
        <v>489</v>
      </c>
      <c r="C212" t="s">
        <v>15</v>
      </c>
      <c r="D212" t="s">
        <v>20</v>
      </c>
      <c r="E212">
        <v>50</v>
      </c>
      <c r="F212" t="s">
        <v>42</v>
      </c>
      <c r="G212" t="s">
        <v>43</v>
      </c>
      <c r="H212" t="s">
        <v>39</v>
      </c>
      <c r="I212">
        <v>19</v>
      </c>
      <c r="J212" s="1">
        <v>40</v>
      </c>
      <c r="K212" t="s">
        <v>2065</v>
      </c>
      <c r="L212" t="s">
        <v>2067</v>
      </c>
      <c r="M212">
        <v>4.9000000000000004</v>
      </c>
      <c r="P212">
        <v>0.82</v>
      </c>
      <c r="Q212" s="2">
        <v>0.82</v>
      </c>
      <c r="S212" s="5">
        <v>2.0500000000000001E-2</v>
      </c>
    </row>
    <row r="213" spans="1:19" x14ac:dyDescent="0.3">
      <c r="A213" t="s">
        <v>490</v>
      </c>
      <c r="B213" t="s">
        <v>491</v>
      </c>
      <c r="C213" t="s">
        <v>15</v>
      </c>
      <c r="D213" t="s">
        <v>20</v>
      </c>
      <c r="E213">
        <v>58</v>
      </c>
      <c r="F213" t="s">
        <v>16</v>
      </c>
      <c r="G213" t="s">
        <v>17</v>
      </c>
      <c r="H213" t="s">
        <v>60</v>
      </c>
      <c r="I213">
        <v>33</v>
      </c>
      <c r="J213" s="1">
        <v>30</v>
      </c>
      <c r="K213" t="s">
        <v>2069</v>
      </c>
      <c r="M213">
        <v>3.3</v>
      </c>
      <c r="N213" t="s">
        <v>96</v>
      </c>
      <c r="O213" t="s">
        <v>2076</v>
      </c>
      <c r="P213">
        <v>0.71</v>
      </c>
      <c r="Q213" s="2">
        <v>0.71</v>
      </c>
      <c r="S213" s="5">
        <v>2.36666666666667E-2</v>
      </c>
    </row>
    <row r="214" spans="1:19" x14ac:dyDescent="0.3">
      <c r="A214" t="s">
        <v>492</v>
      </c>
      <c r="B214" t="s">
        <v>493</v>
      </c>
      <c r="C214" t="s">
        <v>76</v>
      </c>
      <c r="D214" t="s">
        <v>80</v>
      </c>
      <c r="E214">
        <v>58</v>
      </c>
      <c r="F214" t="s">
        <v>83</v>
      </c>
      <c r="G214" t="s">
        <v>84</v>
      </c>
      <c r="H214" t="s">
        <v>33</v>
      </c>
      <c r="I214">
        <v>15</v>
      </c>
      <c r="J214" s="1">
        <v>20</v>
      </c>
      <c r="K214" t="s">
        <v>2072</v>
      </c>
      <c r="M214">
        <v>3.5</v>
      </c>
      <c r="P214">
        <v>0.98</v>
      </c>
      <c r="Q214" s="2">
        <v>0.98</v>
      </c>
      <c r="S214" s="5">
        <v>4.9000000000000002E-2</v>
      </c>
    </row>
    <row r="215" spans="1:19" x14ac:dyDescent="0.3">
      <c r="A215" t="s">
        <v>494</v>
      </c>
      <c r="B215" t="s">
        <v>495</v>
      </c>
      <c r="C215" t="s">
        <v>76</v>
      </c>
      <c r="D215" t="s">
        <v>80</v>
      </c>
      <c r="E215">
        <v>45</v>
      </c>
      <c r="F215" t="s">
        <v>104</v>
      </c>
      <c r="G215" t="s">
        <v>105</v>
      </c>
      <c r="H215" t="s">
        <v>47</v>
      </c>
      <c r="I215">
        <v>27</v>
      </c>
      <c r="J215" s="1">
        <v>75</v>
      </c>
      <c r="K215" t="s">
        <v>2068</v>
      </c>
      <c r="L215" t="s">
        <v>2066</v>
      </c>
      <c r="M215">
        <v>0</v>
      </c>
      <c r="P215">
        <v>0.85</v>
      </c>
      <c r="Q215" s="2">
        <v>0.85</v>
      </c>
      <c r="S215" s="5">
        <v>1.1333333333333299E-2</v>
      </c>
    </row>
    <row r="216" spans="1:19" x14ac:dyDescent="0.3">
      <c r="A216" t="s">
        <v>496</v>
      </c>
      <c r="B216" t="s">
        <v>497</v>
      </c>
      <c r="C216" t="s">
        <v>15</v>
      </c>
      <c r="D216" t="s">
        <v>20</v>
      </c>
      <c r="E216">
        <v>34</v>
      </c>
      <c r="F216" t="s">
        <v>254</v>
      </c>
      <c r="G216" t="s">
        <v>255</v>
      </c>
      <c r="H216" t="s">
        <v>52</v>
      </c>
      <c r="I216">
        <v>11</v>
      </c>
      <c r="J216" s="1">
        <v>40</v>
      </c>
      <c r="K216" t="s">
        <v>2068</v>
      </c>
      <c r="L216" t="s">
        <v>2067</v>
      </c>
      <c r="N216" t="b">
        <v>0</v>
      </c>
      <c r="O216" t="s">
        <v>2077</v>
      </c>
      <c r="P216">
        <v>0.67</v>
      </c>
      <c r="Q216" s="2">
        <v>0.67</v>
      </c>
      <c r="S216" s="5">
        <v>1.6750000000000001E-2</v>
      </c>
    </row>
    <row r="217" spans="1:19" x14ac:dyDescent="0.3">
      <c r="A217" t="s">
        <v>498</v>
      </c>
      <c r="B217" t="s">
        <v>499</v>
      </c>
      <c r="C217" t="s">
        <v>36</v>
      </c>
      <c r="D217" t="s">
        <v>20</v>
      </c>
      <c r="E217">
        <v>51</v>
      </c>
      <c r="F217" t="s">
        <v>42</v>
      </c>
      <c r="G217" t="s">
        <v>43</v>
      </c>
      <c r="H217" t="s">
        <v>60</v>
      </c>
      <c r="I217">
        <v>5</v>
      </c>
      <c r="M217">
        <v>3</v>
      </c>
      <c r="N217">
        <v>1</v>
      </c>
      <c r="O217" t="s">
        <v>2076</v>
      </c>
      <c r="P217">
        <v>0.88</v>
      </c>
      <c r="Q217" s="2">
        <v>0.88</v>
      </c>
    </row>
    <row r="218" spans="1:19" x14ac:dyDescent="0.3">
      <c r="A218" t="s">
        <v>500</v>
      </c>
      <c r="B218" t="s">
        <v>501</v>
      </c>
      <c r="C218" t="s">
        <v>15</v>
      </c>
      <c r="D218" t="s">
        <v>20</v>
      </c>
      <c r="E218">
        <v>53</v>
      </c>
      <c r="F218" t="s">
        <v>104</v>
      </c>
      <c r="G218" t="s">
        <v>105</v>
      </c>
      <c r="H218" t="s">
        <v>66</v>
      </c>
      <c r="I218">
        <v>27</v>
      </c>
      <c r="J218" s="1">
        <v>20</v>
      </c>
      <c r="K218" t="s">
        <v>2068</v>
      </c>
      <c r="L218" t="s">
        <v>2072</v>
      </c>
      <c r="M218">
        <v>4.7</v>
      </c>
      <c r="N218" t="s">
        <v>19</v>
      </c>
      <c r="O218" t="s">
        <v>2076</v>
      </c>
      <c r="P218">
        <v>71</v>
      </c>
      <c r="Q218" s="2">
        <v>0.71</v>
      </c>
      <c r="R218">
        <v>0.71</v>
      </c>
      <c r="S218" s="5">
        <v>3.5499999999999997E-2</v>
      </c>
    </row>
    <row r="219" spans="1:19" x14ac:dyDescent="0.3">
      <c r="A219" t="s">
        <v>502</v>
      </c>
      <c r="B219" t="s">
        <v>503</v>
      </c>
      <c r="C219" t="s">
        <v>36</v>
      </c>
      <c r="D219" t="s">
        <v>20</v>
      </c>
      <c r="E219">
        <v>27</v>
      </c>
      <c r="F219" t="s">
        <v>91</v>
      </c>
      <c r="G219" t="s">
        <v>59</v>
      </c>
      <c r="H219" t="s">
        <v>108</v>
      </c>
      <c r="I219">
        <v>4</v>
      </c>
      <c r="J219" s="1">
        <v>75</v>
      </c>
      <c r="K219" t="s">
        <v>2066</v>
      </c>
      <c r="M219">
        <v>5</v>
      </c>
      <c r="N219">
        <v>0</v>
      </c>
      <c r="O219" t="s">
        <v>2077</v>
      </c>
      <c r="P219">
        <v>0.88</v>
      </c>
      <c r="Q219" s="2">
        <v>0.88</v>
      </c>
      <c r="S219" s="5">
        <v>1.1733333333333301E-2</v>
      </c>
    </row>
    <row r="220" spans="1:19" x14ac:dyDescent="0.3">
      <c r="A220" t="s">
        <v>504</v>
      </c>
      <c r="B220" t="s">
        <v>505</v>
      </c>
      <c r="C220" t="s">
        <v>36</v>
      </c>
      <c r="D220" t="s">
        <v>20</v>
      </c>
      <c r="E220">
        <v>35</v>
      </c>
      <c r="F220" t="s">
        <v>91</v>
      </c>
      <c r="G220" t="s">
        <v>59</v>
      </c>
      <c r="H220" t="s">
        <v>47</v>
      </c>
      <c r="I220">
        <v>10</v>
      </c>
      <c r="J220" s="1">
        <v>20</v>
      </c>
      <c r="K220" t="s">
        <v>2072</v>
      </c>
      <c r="M220">
        <v>3.2</v>
      </c>
      <c r="N220" t="b">
        <v>1</v>
      </c>
      <c r="O220" t="s">
        <v>2076</v>
      </c>
      <c r="P220">
        <v>0.77</v>
      </c>
      <c r="Q220" s="2">
        <v>0.77</v>
      </c>
      <c r="S220" s="5">
        <v>3.85E-2</v>
      </c>
    </row>
    <row r="221" spans="1:19" x14ac:dyDescent="0.3">
      <c r="A221" t="s">
        <v>506</v>
      </c>
      <c r="B221" t="s">
        <v>507</v>
      </c>
      <c r="C221" t="s">
        <v>36</v>
      </c>
      <c r="D221" t="s">
        <v>20</v>
      </c>
      <c r="E221">
        <v>55</v>
      </c>
      <c r="F221" t="s">
        <v>91</v>
      </c>
      <c r="G221" t="s">
        <v>59</v>
      </c>
      <c r="H221" t="s">
        <v>60</v>
      </c>
      <c r="I221">
        <v>24</v>
      </c>
      <c r="J221" s="1">
        <v>40</v>
      </c>
      <c r="K221" t="s">
        <v>2067</v>
      </c>
      <c r="M221">
        <v>2</v>
      </c>
      <c r="N221">
        <v>1</v>
      </c>
      <c r="O221" t="s">
        <v>2076</v>
      </c>
      <c r="P221">
        <v>88</v>
      </c>
      <c r="Q221" s="2">
        <v>0.88</v>
      </c>
      <c r="R221">
        <v>0.88</v>
      </c>
      <c r="S221" s="5">
        <v>2.1999999999999999E-2</v>
      </c>
    </row>
    <row r="222" spans="1:19" x14ac:dyDescent="0.3">
      <c r="A222" t="s">
        <v>508</v>
      </c>
      <c r="B222" t="s">
        <v>509</v>
      </c>
      <c r="C222" t="s">
        <v>15</v>
      </c>
      <c r="D222" t="s">
        <v>20</v>
      </c>
      <c r="E222">
        <v>52</v>
      </c>
      <c r="F222" t="s">
        <v>50</v>
      </c>
      <c r="G222" t="s">
        <v>51</v>
      </c>
      <c r="H222" t="s">
        <v>18</v>
      </c>
      <c r="I222">
        <v>15</v>
      </c>
      <c r="J222" s="1">
        <v>40</v>
      </c>
      <c r="K222" t="s">
        <v>2065</v>
      </c>
      <c r="L222" t="s">
        <v>2067</v>
      </c>
      <c r="M222">
        <v>0</v>
      </c>
      <c r="N222">
        <v>1</v>
      </c>
      <c r="O222" t="s">
        <v>2076</v>
      </c>
      <c r="P222">
        <v>0.92</v>
      </c>
      <c r="Q222" s="2">
        <v>0.92</v>
      </c>
      <c r="S222" s="5">
        <v>2.3E-2</v>
      </c>
    </row>
    <row r="223" spans="1:19" x14ac:dyDescent="0.3">
      <c r="A223" t="s">
        <v>510</v>
      </c>
      <c r="B223" t="s">
        <v>511</v>
      </c>
      <c r="C223" t="s">
        <v>15</v>
      </c>
      <c r="D223" t="s">
        <v>20</v>
      </c>
      <c r="E223">
        <v>57</v>
      </c>
      <c r="F223" t="s">
        <v>31</v>
      </c>
      <c r="G223" t="s">
        <v>32</v>
      </c>
      <c r="H223" t="s">
        <v>79</v>
      </c>
      <c r="I223">
        <v>26</v>
      </c>
      <c r="J223" s="1">
        <v>100</v>
      </c>
      <c r="K223" t="s">
        <v>2068</v>
      </c>
      <c r="L223" t="s">
        <v>2070</v>
      </c>
      <c r="M223">
        <v>2.4</v>
      </c>
      <c r="N223">
        <v>1</v>
      </c>
      <c r="O223" t="s">
        <v>2076</v>
      </c>
      <c r="P223">
        <v>0.78</v>
      </c>
      <c r="Q223" s="2">
        <v>0.78</v>
      </c>
      <c r="S223" s="5">
        <v>7.7999999999999996E-3</v>
      </c>
    </row>
    <row r="224" spans="1:19" x14ac:dyDescent="0.3">
      <c r="A224" t="s">
        <v>512</v>
      </c>
      <c r="B224" t="s">
        <v>513</v>
      </c>
      <c r="C224" t="s">
        <v>36</v>
      </c>
      <c r="D224" t="s">
        <v>20</v>
      </c>
      <c r="E224">
        <v>44</v>
      </c>
      <c r="F224" t="s">
        <v>23</v>
      </c>
      <c r="G224" t="s">
        <v>24</v>
      </c>
      <c r="H224" t="s">
        <v>63</v>
      </c>
      <c r="I224">
        <v>4</v>
      </c>
      <c r="J224" s="1">
        <v>30</v>
      </c>
      <c r="K224" t="s">
        <v>2068</v>
      </c>
      <c r="L224" t="s">
        <v>2069</v>
      </c>
      <c r="M224">
        <v>0</v>
      </c>
      <c r="N224" t="s">
        <v>53</v>
      </c>
      <c r="O224" t="s">
        <v>2077</v>
      </c>
      <c r="P224">
        <v>0.8</v>
      </c>
      <c r="Q224" s="2">
        <v>0.8</v>
      </c>
      <c r="S224" s="5">
        <v>2.66666666666667E-2</v>
      </c>
    </row>
    <row r="225" spans="1:19" x14ac:dyDescent="0.3">
      <c r="A225" t="s">
        <v>514</v>
      </c>
      <c r="B225" t="s">
        <v>515</v>
      </c>
      <c r="C225" t="s">
        <v>36</v>
      </c>
      <c r="D225" t="s">
        <v>20</v>
      </c>
      <c r="E225">
        <v>24</v>
      </c>
      <c r="F225" t="s">
        <v>87</v>
      </c>
      <c r="G225" t="s">
        <v>88</v>
      </c>
      <c r="H225" t="s">
        <v>66</v>
      </c>
      <c r="I225">
        <v>6</v>
      </c>
      <c r="J225" s="1">
        <v>75</v>
      </c>
      <c r="K225" t="s">
        <v>2065</v>
      </c>
      <c r="L225" t="s">
        <v>2066</v>
      </c>
      <c r="M225">
        <v>4.3</v>
      </c>
      <c r="N225" t="s">
        <v>19</v>
      </c>
      <c r="O225" t="s">
        <v>2076</v>
      </c>
    </row>
    <row r="226" spans="1:19" x14ac:dyDescent="0.3">
      <c r="A226" t="s">
        <v>516</v>
      </c>
      <c r="B226" t="s">
        <v>517</v>
      </c>
      <c r="C226" t="s">
        <v>15</v>
      </c>
      <c r="D226" t="s">
        <v>20</v>
      </c>
      <c r="E226">
        <v>26</v>
      </c>
      <c r="F226" t="s">
        <v>87</v>
      </c>
      <c r="G226" t="s">
        <v>88</v>
      </c>
      <c r="H226" t="s">
        <v>47</v>
      </c>
      <c r="J226" s="1">
        <v>50</v>
      </c>
      <c r="K226" t="s">
        <v>2071</v>
      </c>
      <c r="M226">
        <v>0</v>
      </c>
      <c r="N226" t="s">
        <v>19</v>
      </c>
      <c r="O226" t="s">
        <v>2076</v>
      </c>
      <c r="P226">
        <v>81</v>
      </c>
      <c r="Q226" s="2">
        <v>0.81</v>
      </c>
      <c r="R226">
        <v>0.81</v>
      </c>
      <c r="S226" s="5">
        <v>1.6199999999999999E-2</v>
      </c>
    </row>
    <row r="227" spans="1:19" x14ac:dyDescent="0.3">
      <c r="A227" t="s">
        <v>518</v>
      </c>
      <c r="B227" t="s">
        <v>519</v>
      </c>
      <c r="C227" t="s">
        <v>111</v>
      </c>
      <c r="D227" t="s">
        <v>80</v>
      </c>
      <c r="E227">
        <v>43</v>
      </c>
      <c r="F227" t="s">
        <v>158</v>
      </c>
      <c r="G227" t="s">
        <v>159</v>
      </c>
      <c r="H227" t="s">
        <v>108</v>
      </c>
      <c r="I227">
        <v>15</v>
      </c>
      <c r="J227" s="1">
        <v>20</v>
      </c>
      <c r="K227" t="s">
        <v>2065</v>
      </c>
      <c r="L227" t="s">
        <v>2072</v>
      </c>
      <c r="M227">
        <v>4.2</v>
      </c>
      <c r="N227" t="b">
        <v>1</v>
      </c>
      <c r="O227" t="s">
        <v>2076</v>
      </c>
      <c r="P227">
        <v>0.91</v>
      </c>
      <c r="Q227" s="2">
        <v>0.91</v>
      </c>
      <c r="S227" s="5">
        <v>4.5499999999999999E-2</v>
      </c>
    </row>
    <row r="228" spans="1:19" x14ac:dyDescent="0.3">
      <c r="A228" t="s">
        <v>520</v>
      </c>
      <c r="B228" t="s">
        <v>521</v>
      </c>
      <c r="C228" t="s">
        <v>111</v>
      </c>
      <c r="D228" t="s">
        <v>80</v>
      </c>
      <c r="E228">
        <v>44</v>
      </c>
      <c r="F228" t="s">
        <v>139</v>
      </c>
      <c r="G228" t="s">
        <v>59</v>
      </c>
      <c r="H228" t="s">
        <v>52</v>
      </c>
      <c r="I228">
        <v>3</v>
      </c>
      <c r="J228" s="1">
        <v>50</v>
      </c>
      <c r="K228" t="s">
        <v>2065</v>
      </c>
      <c r="L228" t="s">
        <v>2071</v>
      </c>
      <c r="M228">
        <v>2.2000000000000002</v>
      </c>
      <c r="N228">
        <v>0</v>
      </c>
      <c r="O228" t="s">
        <v>2077</v>
      </c>
      <c r="P228">
        <v>0.77</v>
      </c>
      <c r="Q228" s="2">
        <v>0.77</v>
      </c>
      <c r="S228" s="5">
        <v>1.54E-2</v>
      </c>
    </row>
    <row r="229" spans="1:19" x14ac:dyDescent="0.3">
      <c r="A229" t="s">
        <v>522</v>
      </c>
      <c r="B229" t="s">
        <v>523</v>
      </c>
      <c r="C229" t="s">
        <v>76</v>
      </c>
      <c r="D229" t="s">
        <v>80</v>
      </c>
      <c r="E229">
        <v>51</v>
      </c>
      <c r="F229" t="s">
        <v>31</v>
      </c>
      <c r="G229" t="s">
        <v>32</v>
      </c>
      <c r="H229" t="s">
        <v>79</v>
      </c>
      <c r="I229">
        <v>1</v>
      </c>
      <c r="J229" s="1">
        <v>50</v>
      </c>
      <c r="K229" t="s">
        <v>2065</v>
      </c>
      <c r="L229" t="s">
        <v>2071</v>
      </c>
      <c r="M229">
        <v>0</v>
      </c>
      <c r="N229" t="s">
        <v>96</v>
      </c>
      <c r="O229" t="s">
        <v>2076</v>
      </c>
      <c r="P229">
        <v>0.97</v>
      </c>
      <c r="Q229" s="2">
        <v>0.97</v>
      </c>
      <c r="S229" s="5">
        <v>1.9400000000000001E-2</v>
      </c>
    </row>
    <row r="230" spans="1:19" x14ac:dyDescent="0.3">
      <c r="A230" t="s">
        <v>524</v>
      </c>
      <c r="B230" t="s">
        <v>525</v>
      </c>
      <c r="C230" t="s">
        <v>76</v>
      </c>
      <c r="D230" t="s">
        <v>80</v>
      </c>
      <c r="E230">
        <v>55</v>
      </c>
      <c r="F230" t="s">
        <v>50</v>
      </c>
      <c r="G230" t="s">
        <v>51</v>
      </c>
      <c r="H230" t="s">
        <v>33</v>
      </c>
      <c r="I230">
        <v>17</v>
      </c>
      <c r="J230" s="1">
        <v>30</v>
      </c>
      <c r="K230" t="s">
        <v>2069</v>
      </c>
    </row>
    <row r="231" spans="1:19" x14ac:dyDescent="0.3">
      <c r="A231" t="s">
        <v>526</v>
      </c>
      <c r="B231" t="s">
        <v>527</v>
      </c>
      <c r="C231" t="s">
        <v>111</v>
      </c>
      <c r="D231" t="s">
        <v>80</v>
      </c>
      <c r="E231">
        <v>25</v>
      </c>
      <c r="F231" t="s">
        <v>27</v>
      </c>
      <c r="G231" t="s">
        <v>28</v>
      </c>
      <c r="H231" t="s">
        <v>66</v>
      </c>
      <c r="I231">
        <v>7</v>
      </c>
      <c r="J231" s="1">
        <v>100</v>
      </c>
      <c r="K231" t="s">
        <v>2068</v>
      </c>
      <c r="L231" t="s">
        <v>2070</v>
      </c>
      <c r="M231">
        <v>1.9</v>
      </c>
      <c r="N231" t="b">
        <v>0</v>
      </c>
      <c r="O231" t="s">
        <v>2077</v>
      </c>
      <c r="P231">
        <v>0.63</v>
      </c>
      <c r="Q231" s="2">
        <v>0.63</v>
      </c>
      <c r="S231" s="5">
        <v>6.3E-3</v>
      </c>
    </row>
    <row r="232" spans="1:19" x14ac:dyDescent="0.3">
      <c r="A232" t="s">
        <v>528</v>
      </c>
      <c r="B232" t="s">
        <v>529</v>
      </c>
      <c r="C232" t="s">
        <v>36</v>
      </c>
      <c r="D232" t="s">
        <v>20</v>
      </c>
      <c r="F232" t="s">
        <v>23</v>
      </c>
      <c r="G232" t="s">
        <v>24</v>
      </c>
      <c r="H232" t="s">
        <v>47</v>
      </c>
      <c r="I232">
        <v>12</v>
      </c>
      <c r="J232" s="1">
        <v>20</v>
      </c>
      <c r="K232" t="s">
        <v>2065</v>
      </c>
      <c r="L232" t="s">
        <v>2072</v>
      </c>
      <c r="M232">
        <v>0</v>
      </c>
      <c r="N232" t="b">
        <v>1</v>
      </c>
      <c r="O232" t="s">
        <v>2076</v>
      </c>
      <c r="P232">
        <v>0.8</v>
      </c>
      <c r="Q232" s="2">
        <v>0.8</v>
      </c>
      <c r="S232" s="5">
        <v>0.04</v>
      </c>
    </row>
    <row r="233" spans="1:19" x14ac:dyDescent="0.3">
      <c r="A233" t="s">
        <v>530</v>
      </c>
      <c r="B233" t="s">
        <v>531</v>
      </c>
      <c r="C233" t="s">
        <v>15</v>
      </c>
      <c r="D233" t="s">
        <v>20</v>
      </c>
      <c r="E233">
        <v>20</v>
      </c>
      <c r="F233" t="s">
        <v>37</v>
      </c>
      <c r="G233" t="s">
        <v>38</v>
      </c>
      <c r="H233" t="s">
        <v>33</v>
      </c>
      <c r="I233">
        <v>1</v>
      </c>
      <c r="J233" s="1">
        <v>50</v>
      </c>
      <c r="K233" t="s">
        <v>2071</v>
      </c>
      <c r="M233">
        <v>2.9</v>
      </c>
      <c r="N233" t="s">
        <v>67</v>
      </c>
      <c r="O233" t="s">
        <v>2077</v>
      </c>
      <c r="P233">
        <v>0.81</v>
      </c>
      <c r="Q233" s="2">
        <v>0.81</v>
      </c>
      <c r="S233" s="5">
        <v>1.6199999999999999E-2</v>
      </c>
    </row>
    <row r="234" spans="1:19" x14ac:dyDescent="0.3">
      <c r="A234" t="s">
        <v>532</v>
      </c>
      <c r="B234" t="s">
        <v>533</v>
      </c>
      <c r="C234" t="s">
        <v>15</v>
      </c>
      <c r="D234" t="s">
        <v>20</v>
      </c>
      <c r="E234">
        <v>60</v>
      </c>
      <c r="F234" t="s">
        <v>91</v>
      </c>
      <c r="G234" t="s">
        <v>59</v>
      </c>
      <c r="H234" t="s">
        <v>47</v>
      </c>
      <c r="I234">
        <v>3</v>
      </c>
      <c r="J234" s="1">
        <v>40</v>
      </c>
      <c r="K234" t="s">
        <v>2067</v>
      </c>
      <c r="M234">
        <v>4.7</v>
      </c>
      <c r="N234" t="b">
        <v>0</v>
      </c>
      <c r="O234" t="s">
        <v>2077</v>
      </c>
      <c r="P234">
        <v>0.63</v>
      </c>
      <c r="Q234" s="2">
        <v>0.63</v>
      </c>
      <c r="S234" s="5">
        <v>1.575E-2</v>
      </c>
    </row>
    <row r="235" spans="1:19" x14ac:dyDescent="0.3">
      <c r="A235" t="s">
        <v>534</v>
      </c>
      <c r="B235" t="s">
        <v>535</v>
      </c>
      <c r="C235" t="s">
        <v>15</v>
      </c>
      <c r="D235" t="s">
        <v>20</v>
      </c>
      <c r="E235">
        <v>26</v>
      </c>
      <c r="F235" t="s">
        <v>23</v>
      </c>
      <c r="G235" t="s">
        <v>24</v>
      </c>
      <c r="H235" t="s">
        <v>18</v>
      </c>
      <c r="I235">
        <v>7</v>
      </c>
      <c r="J235" s="1">
        <v>75</v>
      </c>
      <c r="K235" t="s">
        <v>2066</v>
      </c>
      <c r="M235">
        <v>3</v>
      </c>
      <c r="P235">
        <v>0.84</v>
      </c>
      <c r="Q235" s="2">
        <v>0.84</v>
      </c>
      <c r="S235" s="5">
        <v>1.12E-2</v>
      </c>
    </row>
    <row r="236" spans="1:19" x14ac:dyDescent="0.3">
      <c r="A236" t="s">
        <v>536</v>
      </c>
      <c r="B236" t="s">
        <v>537</v>
      </c>
      <c r="C236" t="s">
        <v>15</v>
      </c>
      <c r="D236" t="s">
        <v>20</v>
      </c>
      <c r="F236" t="s">
        <v>16</v>
      </c>
      <c r="G236" t="s">
        <v>17</v>
      </c>
      <c r="H236" t="s">
        <v>18</v>
      </c>
      <c r="I236">
        <v>1</v>
      </c>
      <c r="J236" s="1">
        <v>50</v>
      </c>
      <c r="K236" t="s">
        <v>2068</v>
      </c>
      <c r="L236" t="s">
        <v>2071</v>
      </c>
      <c r="M236">
        <v>2.8</v>
      </c>
      <c r="N236" t="s">
        <v>67</v>
      </c>
      <c r="O236" t="s">
        <v>2077</v>
      </c>
      <c r="P236">
        <v>0.87</v>
      </c>
      <c r="Q236" s="2">
        <v>0.87</v>
      </c>
      <c r="S236" s="5">
        <v>1.7399999999999999E-2</v>
      </c>
    </row>
    <row r="237" spans="1:19" x14ac:dyDescent="0.3">
      <c r="A237" t="s">
        <v>538</v>
      </c>
      <c r="B237" t="s">
        <v>539</v>
      </c>
      <c r="C237" t="s">
        <v>36</v>
      </c>
      <c r="D237" t="s">
        <v>20</v>
      </c>
      <c r="E237">
        <v>24</v>
      </c>
      <c r="F237" t="s">
        <v>139</v>
      </c>
      <c r="G237" t="s">
        <v>59</v>
      </c>
      <c r="H237" t="s">
        <v>63</v>
      </c>
      <c r="I237">
        <v>6</v>
      </c>
      <c r="J237" s="1">
        <v>30</v>
      </c>
      <c r="K237" t="s">
        <v>2068</v>
      </c>
      <c r="L237" t="s">
        <v>2069</v>
      </c>
      <c r="M237">
        <v>4.5999999999999996</v>
      </c>
      <c r="N237">
        <v>1</v>
      </c>
      <c r="O237" t="s">
        <v>2076</v>
      </c>
      <c r="P237">
        <v>0.93</v>
      </c>
      <c r="Q237" s="2">
        <v>0.93</v>
      </c>
      <c r="S237" s="5">
        <v>3.1E-2</v>
      </c>
    </row>
    <row r="238" spans="1:19" x14ac:dyDescent="0.3">
      <c r="A238" t="s">
        <v>540</v>
      </c>
      <c r="B238" t="s">
        <v>541</v>
      </c>
      <c r="C238" t="s">
        <v>36</v>
      </c>
      <c r="D238" t="s">
        <v>20</v>
      </c>
      <c r="E238">
        <v>50</v>
      </c>
      <c r="F238" t="s">
        <v>77</v>
      </c>
      <c r="G238" t="s">
        <v>78</v>
      </c>
      <c r="H238" t="s">
        <v>33</v>
      </c>
      <c r="I238">
        <v>3</v>
      </c>
      <c r="J238" s="1">
        <v>100</v>
      </c>
      <c r="K238" t="s">
        <v>2070</v>
      </c>
      <c r="M238">
        <v>0</v>
      </c>
      <c r="N238" t="s">
        <v>96</v>
      </c>
      <c r="O238" t="s">
        <v>2076</v>
      </c>
    </row>
    <row r="239" spans="1:19" x14ac:dyDescent="0.3">
      <c r="A239" t="s">
        <v>542</v>
      </c>
      <c r="B239" t="s">
        <v>543</v>
      </c>
      <c r="C239" t="s">
        <v>36</v>
      </c>
      <c r="D239" t="s">
        <v>20</v>
      </c>
      <c r="E239">
        <v>34</v>
      </c>
      <c r="F239" t="s">
        <v>42</v>
      </c>
      <c r="G239" t="s">
        <v>43</v>
      </c>
      <c r="H239" t="s">
        <v>52</v>
      </c>
      <c r="I239">
        <v>1</v>
      </c>
      <c r="J239" s="1">
        <v>30</v>
      </c>
      <c r="K239" t="s">
        <v>2069</v>
      </c>
      <c r="M239">
        <v>3.6</v>
      </c>
      <c r="N239">
        <v>1</v>
      </c>
      <c r="O239" t="s">
        <v>2076</v>
      </c>
      <c r="P239">
        <v>0.87</v>
      </c>
      <c r="Q239" s="2">
        <v>0.87</v>
      </c>
      <c r="S239" s="5">
        <v>2.9000000000000001E-2</v>
      </c>
    </row>
    <row r="240" spans="1:19" x14ac:dyDescent="0.3">
      <c r="A240" t="s">
        <v>544</v>
      </c>
      <c r="B240" t="s">
        <v>545</v>
      </c>
      <c r="C240" t="s">
        <v>36</v>
      </c>
      <c r="D240" t="s">
        <v>20</v>
      </c>
      <c r="E240">
        <v>26</v>
      </c>
      <c r="F240" t="s">
        <v>118</v>
      </c>
      <c r="G240" t="s">
        <v>119</v>
      </c>
      <c r="H240" t="s">
        <v>60</v>
      </c>
      <c r="I240">
        <v>8</v>
      </c>
      <c r="J240" s="1">
        <v>20</v>
      </c>
      <c r="K240" t="s">
        <v>2072</v>
      </c>
      <c r="M240">
        <v>3.6</v>
      </c>
      <c r="N240">
        <v>0</v>
      </c>
      <c r="O240" t="s">
        <v>2077</v>
      </c>
      <c r="P240">
        <v>0.67</v>
      </c>
      <c r="Q240" s="2">
        <v>0.67</v>
      </c>
      <c r="S240" s="5">
        <v>3.3500000000000002E-2</v>
      </c>
    </row>
    <row r="241" spans="1:19" x14ac:dyDescent="0.3">
      <c r="A241" t="s">
        <v>546</v>
      </c>
      <c r="B241" t="s">
        <v>547</v>
      </c>
      <c r="C241" t="s">
        <v>15</v>
      </c>
      <c r="D241" t="s">
        <v>20</v>
      </c>
      <c r="F241" t="s">
        <v>50</v>
      </c>
      <c r="G241" t="s">
        <v>51</v>
      </c>
      <c r="H241" t="s">
        <v>108</v>
      </c>
      <c r="I241">
        <v>12</v>
      </c>
      <c r="J241" s="1">
        <v>30</v>
      </c>
      <c r="K241" t="s">
        <v>2069</v>
      </c>
      <c r="M241">
        <v>2.6</v>
      </c>
      <c r="N241" t="s">
        <v>96</v>
      </c>
      <c r="O241" t="s">
        <v>2076</v>
      </c>
    </row>
    <row r="242" spans="1:19" x14ac:dyDescent="0.3">
      <c r="A242" t="s">
        <v>548</v>
      </c>
      <c r="B242" t="s">
        <v>549</v>
      </c>
      <c r="C242" t="s">
        <v>15</v>
      </c>
      <c r="D242" t="s">
        <v>20</v>
      </c>
      <c r="E242">
        <v>44</v>
      </c>
      <c r="F242" t="s">
        <v>42</v>
      </c>
      <c r="G242" t="s">
        <v>43</v>
      </c>
      <c r="H242" t="s">
        <v>47</v>
      </c>
      <c r="I242">
        <v>9</v>
      </c>
      <c r="J242" s="1">
        <v>40</v>
      </c>
      <c r="K242" t="s">
        <v>2067</v>
      </c>
      <c r="N242">
        <v>0</v>
      </c>
      <c r="O242" t="s">
        <v>2077</v>
      </c>
      <c r="P242">
        <v>0.7</v>
      </c>
      <c r="Q242" s="2">
        <v>0.7</v>
      </c>
      <c r="S242" s="5">
        <v>1.7500000000000002E-2</v>
      </c>
    </row>
    <row r="243" spans="1:19" x14ac:dyDescent="0.3">
      <c r="A243" t="s">
        <v>550</v>
      </c>
      <c r="B243" t="s">
        <v>551</v>
      </c>
      <c r="C243" t="s">
        <v>15</v>
      </c>
      <c r="D243" t="s">
        <v>20</v>
      </c>
      <c r="E243">
        <v>52</v>
      </c>
      <c r="F243" t="s">
        <v>158</v>
      </c>
      <c r="G243" t="s">
        <v>159</v>
      </c>
      <c r="H243" t="s">
        <v>63</v>
      </c>
      <c r="I243">
        <v>4</v>
      </c>
      <c r="J243" s="1">
        <v>75</v>
      </c>
      <c r="K243" t="s">
        <v>2066</v>
      </c>
      <c r="M243">
        <v>2.2999999999999998</v>
      </c>
      <c r="N243">
        <v>1</v>
      </c>
      <c r="O243" t="s">
        <v>2076</v>
      </c>
      <c r="P243">
        <v>0.79</v>
      </c>
      <c r="Q243" s="2">
        <v>0.79</v>
      </c>
      <c r="S243" s="5">
        <v>1.0533333333333301E-2</v>
      </c>
    </row>
    <row r="244" spans="1:19" x14ac:dyDescent="0.3">
      <c r="A244" t="s">
        <v>552</v>
      </c>
      <c r="B244" t="s">
        <v>553</v>
      </c>
      <c r="C244" t="s">
        <v>15</v>
      </c>
      <c r="D244" t="s">
        <v>20</v>
      </c>
      <c r="E244">
        <v>42</v>
      </c>
      <c r="F244" t="s">
        <v>155</v>
      </c>
      <c r="G244" t="s">
        <v>17</v>
      </c>
      <c r="H244" t="s">
        <v>47</v>
      </c>
      <c r="I244">
        <v>8</v>
      </c>
      <c r="J244" s="1">
        <v>50</v>
      </c>
      <c r="K244" t="s">
        <v>2065</v>
      </c>
      <c r="L244" t="s">
        <v>2071</v>
      </c>
      <c r="M244">
        <v>2.4</v>
      </c>
      <c r="N244" t="s">
        <v>67</v>
      </c>
      <c r="O244" t="s">
        <v>2077</v>
      </c>
      <c r="P244">
        <v>0.68</v>
      </c>
      <c r="Q244" s="2">
        <v>0.68</v>
      </c>
      <c r="S244" s="5">
        <v>1.3599999999999999E-2</v>
      </c>
    </row>
    <row r="245" spans="1:19" x14ac:dyDescent="0.3">
      <c r="A245" t="s">
        <v>554</v>
      </c>
      <c r="B245" t="s">
        <v>555</v>
      </c>
      <c r="C245" t="s">
        <v>15</v>
      </c>
      <c r="D245" t="s">
        <v>20</v>
      </c>
      <c r="E245">
        <v>37</v>
      </c>
      <c r="F245" t="s">
        <v>139</v>
      </c>
      <c r="G245" t="s">
        <v>59</v>
      </c>
      <c r="H245" t="s">
        <v>18</v>
      </c>
      <c r="I245">
        <v>17</v>
      </c>
      <c r="J245" s="1">
        <v>20</v>
      </c>
      <c r="K245" t="s">
        <v>2072</v>
      </c>
      <c r="M245">
        <v>3.3</v>
      </c>
      <c r="N245">
        <v>0</v>
      </c>
      <c r="O245" t="s">
        <v>2077</v>
      </c>
      <c r="P245">
        <v>96</v>
      </c>
      <c r="Q245" s="2">
        <v>0.96</v>
      </c>
      <c r="R245">
        <v>0.96</v>
      </c>
      <c r="S245" s="5">
        <v>4.8000000000000001E-2</v>
      </c>
    </row>
    <row r="246" spans="1:19" x14ac:dyDescent="0.3">
      <c r="A246" t="s">
        <v>556</v>
      </c>
      <c r="B246" t="s">
        <v>557</v>
      </c>
      <c r="C246" t="s">
        <v>36</v>
      </c>
      <c r="D246" t="s">
        <v>20</v>
      </c>
      <c r="E246">
        <v>45</v>
      </c>
      <c r="F246" t="s">
        <v>104</v>
      </c>
      <c r="G246" t="s">
        <v>105</v>
      </c>
      <c r="H246" t="s">
        <v>60</v>
      </c>
      <c r="I246">
        <v>4</v>
      </c>
      <c r="J246" s="1">
        <v>20</v>
      </c>
      <c r="K246" t="s">
        <v>2065</v>
      </c>
      <c r="L246" t="s">
        <v>2072</v>
      </c>
      <c r="M246">
        <v>2.7</v>
      </c>
      <c r="P246">
        <v>0.72</v>
      </c>
      <c r="Q246" s="2">
        <v>0.72</v>
      </c>
      <c r="S246" s="5">
        <v>3.5999999999999997E-2</v>
      </c>
    </row>
    <row r="247" spans="1:19" x14ac:dyDescent="0.3">
      <c r="A247" t="s">
        <v>558</v>
      </c>
      <c r="B247" t="s">
        <v>559</v>
      </c>
      <c r="C247" t="s">
        <v>36</v>
      </c>
      <c r="D247" t="s">
        <v>20</v>
      </c>
      <c r="E247">
        <v>42</v>
      </c>
      <c r="F247" t="s">
        <v>31</v>
      </c>
      <c r="G247" t="s">
        <v>32</v>
      </c>
      <c r="H247" t="s">
        <v>63</v>
      </c>
      <c r="I247">
        <v>13</v>
      </c>
      <c r="J247" s="1">
        <v>20</v>
      </c>
      <c r="K247" t="s">
        <v>2065</v>
      </c>
      <c r="L247" t="s">
        <v>2072</v>
      </c>
      <c r="M247">
        <v>4.7</v>
      </c>
      <c r="N247" t="s">
        <v>53</v>
      </c>
      <c r="O247" t="s">
        <v>2077</v>
      </c>
      <c r="P247">
        <v>0.85</v>
      </c>
      <c r="Q247" s="2">
        <v>0.85</v>
      </c>
      <c r="S247" s="5">
        <v>4.2500000000000003E-2</v>
      </c>
    </row>
    <row r="248" spans="1:19" x14ac:dyDescent="0.3">
      <c r="A248" t="s">
        <v>560</v>
      </c>
      <c r="B248" t="s">
        <v>561</v>
      </c>
      <c r="C248" t="s">
        <v>15</v>
      </c>
      <c r="D248" t="s">
        <v>20</v>
      </c>
      <c r="E248">
        <v>40</v>
      </c>
      <c r="F248" t="s">
        <v>91</v>
      </c>
      <c r="G248" t="s">
        <v>59</v>
      </c>
      <c r="H248" t="s">
        <v>47</v>
      </c>
      <c r="I248">
        <v>1</v>
      </c>
      <c r="J248" s="1">
        <v>100</v>
      </c>
      <c r="K248" t="s">
        <v>2070</v>
      </c>
      <c r="M248">
        <v>2.1</v>
      </c>
      <c r="N248">
        <v>1</v>
      </c>
      <c r="O248" t="s">
        <v>2076</v>
      </c>
    </row>
    <row r="249" spans="1:19" x14ac:dyDescent="0.3">
      <c r="A249" t="s">
        <v>562</v>
      </c>
      <c r="B249" t="s">
        <v>563</v>
      </c>
      <c r="C249" t="s">
        <v>15</v>
      </c>
      <c r="D249" t="s">
        <v>20</v>
      </c>
      <c r="E249">
        <v>48</v>
      </c>
      <c r="F249" t="s">
        <v>42</v>
      </c>
      <c r="G249" t="s">
        <v>43</v>
      </c>
      <c r="H249" t="s">
        <v>60</v>
      </c>
      <c r="I249">
        <v>21</v>
      </c>
      <c r="J249" s="1">
        <v>40</v>
      </c>
      <c r="K249" t="s">
        <v>2067</v>
      </c>
      <c r="M249">
        <v>0</v>
      </c>
      <c r="N249">
        <v>1</v>
      </c>
      <c r="O249" t="s">
        <v>2076</v>
      </c>
    </row>
    <row r="250" spans="1:19" x14ac:dyDescent="0.3">
      <c r="A250" t="s">
        <v>564</v>
      </c>
      <c r="B250" t="s">
        <v>565</v>
      </c>
      <c r="C250" t="s">
        <v>15</v>
      </c>
      <c r="D250" t="s">
        <v>20</v>
      </c>
      <c r="E250">
        <v>54</v>
      </c>
      <c r="F250" t="s">
        <v>139</v>
      </c>
      <c r="G250" t="s">
        <v>59</v>
      </c>
      <c r="H250" t="s">
        <v>63</v>
      </c>
      <c r="I250">
        <v>3</v>
      </c>
      <c r="J250" s="1">
        <v>30</v>
      </c>
      <c r="K250" t="s">
        <v>2068</v>
      </c>
      <c r="L250" t="s">
        <v>2069</v>
      </c>
      <c r="M250">
        <v>2.4</v>
      </c>
      <c r="N250">
        <v>0</v>
      </c>
      <c r="O250" t="s">
        <v>2077</v>
      </c>
      <c r="P250">
        <v>0.81</v>
      </c>
      <c r="Q250" s="2">
        <v>0.81</v>
      </c>
      <c r="S250" s="5">
        <v>2.7E-2</v>
      </c>
    </row>
    <row r="251" spans="1:19" x14ac:dyDescent="0.3">
      <c r="A251" t="s">
        <v>566</v>
      </c>
      <c r="B251" t="s">
        <v>567</v>
      </c>
      <c r="C251" t="s">
        <v>15</v>
      </c>
      <c r="D251" t="s">
        <v>20</v>
      </c>
      <c r="E251">
        <v>41</v>
      </c>
      <c r="F251" t="s">
        <v>77</v>
      </c>
      <c r="G251" t="s">
        <v>78</v>
      </c>
      <c r="H251" t="s">
        <v>108</v>
      </c>
      <c r="I251">
        <v>7</v>
      </c>
      <c r="J251" s="1">
        <v>40</v>
      </c>
      <c r="K251" t="s">
        <v>2067</v>
      </c>
      <c r="M251">
        <v>1.8</v>
      </c>
      <c r="N251" t="b">
        <v>0</v>
      </c>
      <c r="O251" t="s">
        <v>2077</v>
      </c>
      <c r="P251">
        <v>0.7</v>
      </c>
      <c r="Q251" s="2">
        <v>0.7</v>
      </c>
      <c r="S251" s="5">
        <v>1.7500000000000002E-2</v>
      </c>
    </row>
    <row r="252" spans="1:19" x14ac:dyDescent="0.3">
      <c r="A252" t="s">
        <v>568</v>
      </c>
      <c r="B252" t="s">
        <v>569</v>
      </c>
      <c r="C252" t="s">
        <v>76</v>
      </c>
      <c r="D252" t="s">
        <v>80</v>
      </c>
      <c r="E252">
        <v>36</v>
      </c>
      <c r="F252" t="s">
        <v>155</v>
      </c>
      <c r="G252" t="s">
        <v>17</v>
      </c>
      <c r="H252" t="s">
        <v>63</v>
      </c>
      <c r="I252">
        <v>18</v>
      </c>
      <c r="J252" s="1">
        <v>20</v>
      </c>
      <c r="K252" t="s">
        <v>2065</v>
      </c>
      <c r="L252" t="s">
        <v>2072</v>
      </c>
      <c r="M252">
        <v>1.7</v>
      </c>
      <c r="N252">
        <v>1</v>
      </c>
      <c r="O252" t="s">
        <v>2076</v>
      </c>
      <c r="P252">
        <v>72</v>
      </c>
      <c r="Q252" s="2">
        <v>0.72</v>
      </c>
      <c r="R252">
        <v>0.72</v>
      </c>
      <c r="S252" s="5">
        <v>3.5999999999999997E-2</v>
      </c>
    </row>
    <row r="253" spans="1:19" x14ac:dyDescent="0.3">
      <c r="A253" t="s">
        <v>570</v>
      </c>
      <c r="B253" t="s">
        <v>571</v>
      </c>
      <c r="C253" t="s">
        <v>76</v>
      </c>
      <c r="D253" t="s">
        <v>80</v>
      </c>
      <c r="E253">
        <v>25</v>
      </c>
      <c r="F253" t="s">
        <v>46</v>
      </c>
      <c r="G253" t="s">
        <v>17</v>
      </c>
      <c r="H253" t="s">
        <v>39</v>
      </c>
      <c r="I253">
        <v>5</v>
      </c>
      <c r="J253" s="1">
        <v>40</v>
      </c>
      <c r="K253" t="s">
        <v>2067</v>
      </c>
      <c r="N253" t="b">
        <v>1</v>
      </c>
      <c r="O253" t="s">
        <v>2076</v>
      </c>
      <c r="P253">
        <v>0.75</v>
      </c>
      <c r="Q253" s="2">
        <v>0.75</v>
      </c>
      <c r="S253" s="5">
        <v>1.8749999999999999E-2</v>
      </c>
    </row>
    <row r="254" spans="1:19" x14ac:dyDescent="0.3">
      <c r="A254" t="s">
        <v>572</v>
      </c>
      <c r="B254" t="s">
        <v>573</v>
      </c>
      <c r="C254" t="s">
        <v>111</v>
      </c>
      <c r="D254" t="s">
        <v>80</v>
      </c>
      <c r="E254">
        <v>56</v>
      </c>
      <c r="F254" t="s">
        <v>16</v>
      </c>
      <c r="G254" t="s">
        <v>17</v>
      </c>
      <c r="H254" t="s">
        <v>60</v>
      </c>
      <c r="I254">
        <v>27</v>
      </c>
      <c r="J254" s="1">
        <v>20</v>
      </c>
      <c r="K254" t="s">
        <v>2065</v>
      </c>
      <c r="L254" t="s">
        <v>2072</v>
      </c>
      <c r="M254">
        <v>2.2000000000000002</v>
      </c>
      <c r="N254" t="b">
        <v>0</v>
      </c>
      <c r="O254" t="s">
        <v>2077</v>
      </c>
      <c r="P254">
        <v>0.7</v>
      </c>
      <c r="Q254" s="2">
        <v>0.7</v>
      </c>
      <c r="S254" s="5">
        <v>3.5000000000000003E-2</v>
      </c>
    </row>
    <row r="255" spans="1:19" x14ac:dyDescent="0.3">
      <c r="A255" t="s">
        <v>574</v>
      </c>
      <c r="B255" t="s">
        <v>575</v>
      </c>
      <c r="C255" t="s">
        <v>15</v>
      </c>
      <c r="D255" t="s">
        <v>20</v>
      </c>
      <c r="E255">
        <v>57</v>
      </c>
      <c r="F255" t="s">
        <v>27</v>
      </c>
      <c r="G255" t="s">
        <v>28</v>
      </c>
      <c r="H255" t="s">
        <v>79</v>
      </c>
      <c r="I255">
        <v>4</v>
      </c>
      <c r="J255" s="1">
        <v>30</v>
      </c>
      <c r="K255" t="s">
        <v>2068</v>
      </c>
      <c r="L255" t="s">
        <v>2069</v>
      </c>
      <c r="M255">
        <v>4.2</v>
      </c>
      <c r="N255">
        <v>0</v>
      </c>
      <c r="O255" t="s">
        <v>2077</v>
      </c>
    </row>
    <row r="256" spans="1:19" x14ac:dyDescent="0.3">
      <c r="A256" t="s">
        <v>576</v>
      </c>
      <c r="B256" t="s">
        <v>577</v>
      </c>
      <c r="C256" t="s">
        <v>111</v>
      </c>
      <c r="D256" t="s">
        <v>80</v>
      </c>
      <c r="E256">
        <v>40</v>
      </c>
      <c r="F256" t="s">
        <v>155</v>
      </c>
      <c r="G256" t="s">
        <v>17</v>
      </c>
      <c r="H256" t="s">
        <v>79</v>
      </c>
      <c r="I256">
        <v>22</v>
      </c>
      <c r="J256" s="1">
        <v>40</v>
      </c>
      <c r="K256" t="s">
        <v>2068</v>
      </c>
      <c r="L256" t="s">
        <v>2067</v>
      </c>
      <c r="M256">
        <v>4.3</v>
      </c>
      <c r="N256">
        <v>0</v>
      </c>
      <c r="O256" t="s">
        <v>2077</v>
      </c>
      <c r="P256">
        <v>0.95</v>
      </c>
      <c r="Q256" s="2">
        <v>0.95</v>
      </c>
      <c r="S256" s="5">
        <v>2.375E-2</v>
      </c>
    </row>
    <row r="257" spans="1:19" x14ac:dyDescent="0.3">
      <c r="A257" t="s">
        <v>578</v>
      </c>
      <c r="B257" t="s">
        <v>579</v>
      </c>
      <c r="C257" t="s">
        <v>76</v>
      </c>
      <c r="D257" t="s">
        <v>80</v>
      </c>
      <c r="E257">
        <v>31</v>
      </c>
      <c r="F257" t="s">
        <v>118</v>
      </c>
      <c r="G257" t="s">
        <v>119</v>
      </c>
      <c r="H257" t="s">
        <v>47</v>
      </c>
      <c r="I257">
        <v>3</v>
      </c>
      <c r="J257" s="1">
        <v>20</v>
      </c>
      <c r="K257" t="s">
        <v>2065</v>
      </c>
      <c r="L257" t="s">
        <v>2072</v>
      </c>
      <c r="N257" t="s">
        <v>53</v>
      </c>
      <c r="O257" t="s">
        <v>2077</v>
      </c>
    </row>
    <row r="258" spans="1:19" x14ac:dyDescent="0.3">
      <c r="A258" t="s">
        <v>580</v>
      </c>
      <c r="B258" t="s">
        <v>581</v>
      </c>
      <c r="C258" t="s">
        <v>76</v>
      </c>
      <c r="D258" t="s">
        <v>80</v>
      </c>
      <c r="E258">
        <v>22</v>
      </c>
      <c r="F258" t="s">
        <v>254</v>
      </c>
      <c r="G258" t="s">
        <v>255</v>
      </c>
      <c r="H258" t="s">
        <v>18</v>
      </c>
      <c r="I258">
        <v>3</v>
      </c>
      <c r="J258" s="1">
        <v>40</v>
      </c>
      <c r="K258" t="s">
        <v>2068</v>
      </c>
      <c r="L258" t="s">
        <v>2067</v>
      </c>
      <c r="M258">
        <v>2.1</v>
      </c>
      <c r="N258">
        <v>0</v>
      </c>
      <c r="O258" t="s">
        <v>2077</v>
      </c>
    </row>
    <row r="259" spans="1:19" x14ac:dyDescent="0.3">
      <c r="A259" t="s">
        <v>582</v>
      </c>
      <c r="B259" t="s">
        <v>583</v>
      </c>
      <c r="C259" t="s">
        <v>111</v>
      </c>
      <c r="D259" t="s">
        <v>80</v>
      </c>
      <c r="E259">
        <v>38</v>
      </c>
      <c r="F259" t="s">
        <v>155</v>
      </c>
      <c r="G259" t="s">
        <v>17</v>
      </c>
      <c r="H259" t="s">
        <v>52</v>
      </c>
      <c r="I259">
        <v>11</v>
      </c>
      <c r="M259">
        <v>2.8</v>
      </c>
      <c r="P259">
        <v>91</v>
      </c>
      <c r="Q259" s="2">
        <v>0.91</v>
      </c>
      <c r="R259">
        <v>0.91</v>
      </c>
    </row>
    <row r="260" spans="1:19" x14ac:dyDescent="0.3">
      <c r="A260" t="s">
        <v>584</v>
      </c>
      <c r="B260" t="s">
        <v>585</v>
      </c>
      <c r="C260" t="s">
        <v>111</v>
      </c>
      <c r="D260" t="s">
        <v>80</v>
      </c>
      <c r="E260">
        <v>43</v>
      </c>
      <c r="F260" t="s">
        <v>31</v>
      </c>
      <c r="G260" t="s">
        <v>32</v>
      </c>
      <c r="H260" t="s">
        <v>39</v>
      </c>
      <c r="I260">
        <v>20</v>
      </c>
      <c r="J260" s="1">
        <v>30</v>
      </c>
      <c r="K260" t="s">
        <v>2068</v>
      </c>
      <c r="L260" t="s">
        <v>2069</v>
      </c>
      <c r="M260">
        <v>2.7</v>
      </c>
      <c r="N260" t="b">
        <v>0</v>
      </c>
      <c r="O260" t="s">
        <v>2077</v>
      </c>
      <c r="P260">
        <v>0.72</v>
      </c>
      <c r="Q260" s="2">
        <v>0.72</v>
      </c>
      <c r="S260" s="5">
        <v>2.4E-2</v>
      </c>
    </row>
    <row r="261" spans="1:19" x14ac:dyDescent="0.3">
      <c r="A261" t="s">
        <v>586</v>
      </c>
      <c r="B261" t="s">
        <v>587</v>
      </c>
      <c r="C261" t="s">
        <v>111</v>
      </c>
      <c r="D261" t="s">
        <v>80</v>
      </c>
      <c r="E261">
        <v>27</v>
      </c>
      <c r="F261" t="s">
        <v>158</v>
      </c>
      <c r="G261" t="s">
        <v>159</v>
      </c>
      <c r="H261" t="s">
        <v>63</v>
      </c>
      <c r="I261">
        <v>8</v>
      </c>
      <c r="J261" s="1">
        <v>50</v>
      </c>
      <c r="K261" t="s">
        <v>2065</v>
      </c>
      <c r="L261" t="s">
        <v>2071</v>
      </c>
      <c r="M261">
        <v>0</v>
      </c>
    </row>
    <row r="262" spans="1:19" x14ac:dyDescent="0.3">
      <c r="A262" t="s">
        <v>588</v>
      </c>
      <c r="B262" t="s">
        <v>589</v>
      </c>
      <c r="C262" t="s">
        <v>111</v>
      </c>
      <c r="D262" t="s">
        <v>80</v>
      </c>
      <c r="F262" t="s">
        <v>104</v>
      </c>
      <c r="G262" t="s">
        <v>105</v>
      </c>
      <c r="H262" t="s">
        <v>18</v>
      </c>
      <c r="J262" s="1">
        <v>40</v>
      </c>
      <c r="K262" t="s">
        <v>2067</v>
      </c>
      <c r="M262">
        <v>2.8</v>
      </c>
      <c r="N262" t="s">
        <v>53</v>
      </c>
      <c r="O262" t="s">
        <v>2077</v>
      </c>
      <c r="P262">
        <v>0.8</v>
      </c>
      <c r="Q262" s="2">
        <v>0.8</v>
      </c>
      <c r="S262" s="5">
        <v>0.02</v>
      </c>
    </row>
    <row r="263" spans="1:19" x14ac:dyDescent="0.3">
      <c r="A263" t="s">
        <v>590</v>
      </c>
      <c r="B263" t="s">
        <v>591</v>
      </c>
      <c r="C263" t="s">
        <v>111</v>
      </c>
      <c r="D263" t="s">
        <v>80</v>
      </c>
      <c r="E263">
        <v>46</v>
      </c>
      <c r="F263" t="s">
        <v>254</v>
      </c>
      <c r="G263" t="s">
        <v>255</v>
      </c>
      <c r="H263" t="s">
        <v>52</v>
      </c>
      <c r="J263" s="1">
        <v>100</v>
      </c>
      <c r="K263" t="s">
        <v>2065</v>
      </c>
      <c r="L263" t="s">
        <v>2070</v>
      </c>
      <c r="M263">
        <v>4.4000000000000004</v>
      </c>
      <c r="N263">
        <v>1</v>
      </c>
      <c r="O263" t="s">
        <v>2076</v>
      </c>
      <c r="P263">
        <v>97</v>
      </c>
      <c r="Q263" s="2">
        <v>0.97</v>
      </c>
      <c r="R263">
        <v>0.97</v>
      </c>
      <c r="S263" s="5">
        <v>9.7000000000000003E-3</v>
      </c>
    </row>
    <row r="264" spans="1:19" x14ac:dyDescent="0.3">
      <c r="A264" t="s">
        <v>592</v>
      </c>
      <c r="B264" t="s">
        <v>593</v>
      </c>
      <c r="C264" t="s">
        <v>76</v>
      </c>
      <c r="D264" t="s">
        <v>80</v>
      </c>
      <c r="E264">
        <v>22</v>
      </c>
      <c r="F264" t="s">
        <v>101</v>
      </c>
      <c r="G264" t="s">
        <v>59</v>
      </c>
      <c r="H264" t="s">
        <v>52</v>
      </c>
      <c r="I264">
        <v>4</v>
      </c>
      <c r="J264" s="1">
        <v>20</v>
      </c>
      <c r="K264" t="s">
        <v>2072</v>
      </c>
      <c r="N264">
        <v>0</v>
      </c>
      <c r="O264" t="s">
        <v>2077</v>
      </c>
      <c r="P264">
        <v>0.73</v>
      </c>
      <c r="Q264" s="2">
        <v>0.73</v>
      </c>
      <c r="S264" s="5">
        <v>3.6499999999999998E-2</v>
      </c>
    </row>
    <row r="265" spans="1:19" x14ac:dyDescent="0.3">
      <c r="A265" t="s">
        <v>594</v>
      </c>
      <c r="B265" t="s">
        <v>595</v>
      </c>
      <c r="C265" t="s">
        <v>111</v>
      </c>
      <c r="D265" t="s">
        <v>80</v>
      </c>
      <c r="E265">
        <v>54</v>
      </c>
      <c r="F265" t="s">
        <v>158</v>
      </c>
      <c r="G265" t="s">
        <v>159</v>
      </c>
      <c r="H265" t="s">
        <v>47</v>
      </c>
      <c r="I265">
        <v>17</v>
      </c>
      <c r="J265" s="1">
        <v>20</v>
      </c>
      <c r="K265" t="s">
        <v>2072</v>
      </c>
      <c r="M265">
        <v>1.7</v>
      </c>
      <c r="N265">
        <v>0</v>
      </c>
      <c r="O265" t="s">
        <v>2077</v>
      </c>
      <c r="P265">
        <v>0.69</v>
      </c>
      <c r="Q265" s="2">
        <v>0.69</v>
      </c>
      <c r="S265" s="5">
        <v>3.4500000000000003E-2</v>
      </c>
    </row>
    <row r="266" spans="1:19" x14ac:dyDescent="0.3">
      <c r="A266" t="s">
        <v>596</v>
      </c>
      <c r="B266" t="s">
        <v>597</v>
      </c>
      <c r="C266" t="s">
        <v>111</v>
      </c>
      <c r="D266" t="s">
        <v>80</v>
      </c>
      <c r="E266">
        <v>58</v>
      </c>
      <c r="F266" t="s">
        <v>42</v>
      </c>
      <c r="G266" t="s">
        <v>43</v>
      </c>
      <c r="H266" t="s">
        <v>18</v>
      </c>
      <c r="I266">
        <v>0</v>
      </c>
      <c r="J266" s="1">
        <v>30</v>
      </c>
      <c r="K266" t="s">
        <v>2068</v>
      </c>
      <c r="L266" t="s">
        <v>2069</v>
      </c>
      <c r="M266">
        <v>4.5999999999999996</v>
      </c>
      <c r="N266">
        <v>0</v>
      </c>
      <c r="O266" t="s">
        <v>2077</v>
      </c>
      <c r="P266">
        <v>70</v>
      </c>
      <c r="Q266" s="2">
        <v>0.7</v>
      </c>
      <c r="R266">
        <v>0.7</v>
      </c>
      <c r="S266" s="5">
        <v>2.33333333333333E-2</v>
      </c>
    </row>
    <row r="267" spans="1:19" x14ac:dyDescent="0.3">
      <c r="A267" t="s">
        <v>598</v>
      </c>
      <c r="B267" t="s">
        <v>599</v>
      </c>
      <c r="C267" t="s">
        <v>111</v>
      </c>
      <c r="D267" t="s">
        <v>80</v>
      </c>
      <c r="E267">
        <v>54</v>
      </c>
      <c r="F267" t="s">
        <v>16</v>
      </c>
      <c r="G267" t="s">
        <v>17</v>
      </c>
      <c r="H267" t="s">
        <v>66</v>
      </c>
      <c r="I267">
        <v>32</v>
      </c>
      <c r="J267" s="1">
        <v>40</v>
      </c>
      <c r="K267" t="s">
        <v>2068</v>
      </c>
      <c r="L267" t="s">
        <v>2067</v>
      </c>
      <c r="M267">
        <v>1.8</v>
      </c>
      <c r="N267" t="s">
        <v>53</v>
      </c>
      <c r="O267" t="s">
        <v>2077</v>
      </c>
    </row>
    <row r="268" spans="1:19" x14ac:dyDescent="0.3">
      <c r="A268" t="s">
        <v>600</v>
      </c>
      <c r="B268" t="s">
        <v>601</v>
      </c>
      <c r="C268" t="s">
        <v>76</v>
      </c>
      <c r="D268" t="s">
        <v>80</v>
      </c>
      <c r="E268">
        <v>36</v>
      </c>
      <c r="F268" t="s">
        <v>37</v>
      </c>
      <c r="G268" t="s">
        <v>38</v>
      </c>
      <c r="H268" t="s">
        <v>108</v>
      </c>
      <c r="I268">
        <v>3</v>
      </c>
      <c r="J268" s="1">
        <v>50</v>
      </c>
      <c r="K268" t="s">
        <v>2068</v>
      </c>
      <c r="L268" t="s">
        <v>2071</v>
      </c>
      <c r="M268">
        <v>0</v>
      </c>
      <c r="N268" t="s">
        <v>67</v>
      </c>
      <c r="O268" t="s">
        <v>2077</v>
      </c>
      <c r="P268">
        <v>75</v>
      </c>
      <c r="Q268" s="2">
        <v>0.75</v>
      </c>
      <c r="R268">
        <v>0.75</v>
      </c>
      <c r="S268" s="5">
        <v>1.4999999999999999E-2</v>
      </c>
    </row>
    <row r="269" spans="1:19" x14ac:dyDescent="0.3">
      <c r="A269" t="s">
        <v>602</v>
      </c>
      <c r="B269" t="s">
        <v>603</v>
      </c>
      <c r="C269" t="s">
        <v>76</v>
      </c>
      <c r="D269" t="s">
        <v>80</v>
      </c>
      <c r="E269">
        <v>54</v>
      </c>
      <c r="F269" t="s">
        <v>31</v>
      </c>
      <c r="G269" t="s">
        <v>32</v>
      </c>
      <c r="H269" t="s">
        <v>108</v>
      </c>
      <c r="I269">
        <v>4</v>
      </c>
      <c r="J269" s="1">
        <v>20</v>
      </c>
      <c r="K269" t="s">
        <v>2072</v>
      </c>
      <c r="M269">
        <v>1.1000000000000001</v>
      </c>
      <c r="N269">
        <v>1</v>
      </c>
      <c r="O269" t="s">
        <v>2076</v>
      </c>
      <c r="P269">
        <v>0.63</v>
      </c>
      <c r="Q269" s="2">
        <v>0.63</v>
      </c>
      <c r="S269" s="5">
        <v>3.15E-2</v>
      </c>
    </row>
    <row r="270" spans="1:19" x14ac:dyDescent="0.3">
      <c r="A270" t="s">
        <v>604</v>
      </c>
      <c r="B270" t="s">
        <v>605</v>
      </c>
      <c r="C270" t="s">
        <v>76</v>
      </c>
      <c r="D270" t="s">
        <v>80</v>
      </c>
      <c r="E270">
        <v>48</v>
      </c>
      <c r="F270" t="s">
        <v>27</v>
      </c>
      <c r="G270" t="s">
        <v>28</v>
      </c>
      <c r="H270" t="s">
        <v>52</v>
      </c>
      <c r="I270">
        <v>28</v>
      </c>
      <c r="J270" s="1">
        <v>30</v>
      </c>
      <c r="K270" t="s">
        <v>2068</v>
      </c>
      <c r="L270" t="s">
        <v>2069</v>
      </c>
      <c r="M270">
        <v>4.9000000000000004</v>
      </c>
      <c r="N270">
        <v>0</v>
      </c>
      <c r="O270" t="s">
        <v>2077</v>
      </c>
      <c r="P270">
        <v>0.77</v>
      </c>
      <c r="Q270" s="2">
        <v>0.77</v>
      </c>
      <c r="S270" s="5">
        <v>2.5666666666666699E-2</v>
      </c>
    </row>
    <row r="271" spans="1:19" x14ac:dyDescent="0.3">
      <c r="A271" t="s">
        <v>606</v>
      </c>
      <c r="B271" t="s">
        <v>607</v>
      </c>
      <c r="C271" t="s">
        <v>76</v>
      </c>
      <c r="D271" t="s">
        <v>80</v>
      </c>
      <c r="E271">
        <v>36</v>
      </c>
      <c r="F271" t="s">
        <v>254</v>
      </c>
      <c r="G271" t="s">
        <v>255</v>
      </c>
      <c r="H271" t="s">
        <v>47</v>
      </c>
      <c r="I271">
        <v>1</v>
      </c>
      <c r="J271" s="1">
        <v>75</v>
      </c>
      <c r="K271" t="s">
        <v>2065</v>
      </c>
      <c r="L271" t="s">
        <v>2066</v>
      </c>
      <c r="P271">
        <v>0.63</v>
      </c>
      <c r="Q271" s="2">
        <v>0.63</v>
      </c>
      <c r="S271" s="5">
        <v>8.3999999999999995E-3</v>
      </c>
    </row>
    <row r="272" spans="1:19" x14ac:dyDescent="0.3">
      <c r="A272" t="s">
        <v>608</v>
      </c>
      <c r="B272" t="s">
        <v>609</v>
      </c>
      <c r="C272" t="s">
        <v>76</v>
      </c>
      <c r="D272" t="s">
        <v>80</v>
      </c>
      <c r="E272">
        <v>42</v>
      </c>
      <c r="F272" t="s">
        <v>83</v>
      </c>
      <c r="G272" t="s">
        <v>84</v>
      </c>
      <c r="H272" t="s">
        <v>108</v>
      </c>
      <c r="I272">
        <v>21</v>
      </c>
      <c r="M272">
        <v>2.5</v>
      </c>
      <c r="N272" t="b">
        <v>1</v>
      </c>
      <c r="O272" t="s">
        <v>2076</v>
      </c>
      <c r="P272">
        <v>0.73</v>
      </c>
      <c r="Q272" s="2">
        <v>0.73</v>
      </c>
    </row>
    <row r="273" spans="1:19" x14ac:dyDescent="0.3">
      <c r="A273" t="s">
        <v>610</v>
      </c>
      <c r="B273" t="s">
        <v>611</v>
      </c>
      <c r="C273" t="s">
        <v>76</v>
      </c>
      <c r="D273" t="s">
        <v>80</v>
      </c>
      <c r="E273">
        <v>50</v>
      </c>
      <c r="F273" t="s">
        <v>101</v>
      </c>
      <c r="G273" t="s">
        <v>59</v>
      </c>
      <c r="H273" t="s">
        <v>39</v>
      </c>
      <c r="I273">
        <v>31</v>
      </c>
      <c r="J273" s="1">
        <v>50</v>
      </c>
      <c r="K273" t="s">
        <v>2065</v>
      </c>
      <c r="L273" t="s">
        <v>2071</v>
      </c>
      <c r="M273">
        <v>4.0999999999999996</v>
      </c>
      <c r="P273">
        <v>0.81</v>
      </c>
      <c r="Q273" s="2">
        <v>0.81</v>
      </c>
      <c r="S273" s="5">
        <v>1.6199999999999999E-2</v>
      </c>
    </row>
    <row r="274" spans="1:19" x14ac:dyDescent="0.3">
      <c r="A274" t="s">
        <v>612</v>
      </c>
      <c r="B274" t="s">
        <v>613</v>
      </c>
      <c r="C274" t="s">
        <v>15</v>
      </c>
      <c r="D274" t="s">
        <v>20</v>
      </c>
      <c r="E274">
        <v>31</v>
      </c>
      <c r="F274" t="s">
        <v>46</v>
      </c>
      <c r="G274" t="s">
        <v>17</v>
      </c>
      <c r="H274" t="s">
        <v>108</v>
      </c>
      <c r="I274">
        <v>7</v>
      </c>
      <c r="J274" s="1">
        <v>75</v>
      </c>
      <c r="K274" t="s">
        <v>2066</v>
      </c>
      <c r="M274">
        <v>4.4000000000000004</v>
      </c>
      <c r="N274">
        <v>0</v>
      </c>
      <c r="O274" t="s">
        <v>2077</v>
      </c>
      <c r="P274">
        <v>0.83</v>
      </c>
      <c r="Q274" s="2">
        <v>0.83</v>
      </c>
      <c r="S274" s="5">
        <v>1.10666666666667E-2</v>
      </c>
    </row>
    <row r="275" spans="1:19" x14ac:dyDescent="0.3">
      <c r="A275" t="s">
        <v>614</v>
      </c>
      <c r="B275" t="s">
        <v>615</v>
      </c>
      <c r="C275" t="s">
        <v>111</v>
      </c>
      <c r="D275" t="s">
        <v>80</v>
      </c>
      <c r="E275">
        <v>25</v>
      </c>
      <c r="F275" t="s">
        <v>155</v>
      </c>
      <c r="G275" t="s">
        <v>17</v>
      </c>
      <c r="H275" t="s">
        <v>52</v>
      </c>
      <c r="I275">
        <v>7</v>
      </c>
      <c r="J275" s="1">
        <v>20</v>
      </c>
      <c r="K275" t="s">
        <v>2072</v>
      </c>
      <c r="M275">
        <v>1.9</v>
      </c>
      <c r="N275">
        <v>0</v>
      </c>
      <c r="O275" t="s">
        <v>2077</v>
      </c>
    </row>
    <row r="276" spans="1:19" x14ac:dyDescent="0.3">
      <c r="A276" t="s">
        <v>616</v>
      </c>
      <c r="B276" t="s">
        <v>617</v>
      </c>
      <c r="C276" t="s">
        <v>15</v>
      </c>
      <c r="D276" t="s">
        <v>20</v>
      </c>
      <c r="E276">
        <v>31</v>
      </c>
      <c r="F276" t="s">
        <v>83</v>
      </c>
      <c r="G276" t="s">
        <v>84</v>
      </c>
      <c r="H276" t="s">
        <v>33</v>
      </c>
      <c r="I276">
        <v>8</v>
      </c>
      <c r="J276" s="1">
        <v>50</v>
      </c>
      <c r="K276" t="s">
        <v>2071</v>
      </c>
      <c r="M276">
        <v>3.4</v>
      </c>
      <c r="N276">
        <v>0</v>
      </c>
      <c r="O276" t="s">
        <v>2077</v>
      </c>
    </row>
    <row r="277" spans="1:19" x14ac:dyDescent="0.3">
      <c r="A277" t="s">
        <v>618</v>
      </c>
      <c r="B277" t="s">
        <v>619</v>
      </c>
      <c r="C277" t="s">
        <v>36</v>
      </c>
      <c r="D277" t="s">
        <v>20</v>
      </c>
      <c r="F277" t="s">
        <v>46</v>
      </c>
      <c r="G277" t="s">
        <v>17</v>
      </c>
      <c r="H277" t="s">
        <v>33</v>
      </c>
      <c r="I277">
        <v>12</v>
      </c>
      <c r="J277" s="1">
        <v>30</v>
      </c>
      <c r="K277" t="s">
        <v>2065</v>
      </c>
      <c r="L277" t="s">
        <v>2069</v>
      </c>
      <c r="M277">
        <v>4.0999999999999996</v>
      </c>
      <c r="N277" t="s">
        <v>67</v>
      </c>
      <c r="O277" t="s">
        <v>2077</v>
      </c>
      <c r="P277">
        <v>0.68</v>
      </c>
      <c r="Q277" s="2">
        <v>0.68</v>
      </c>
      <c r="S277" s="5">
        <v>2.26666666666667E-2</v>
      </c>
    </row>
    <row r="278" spans="1:19" x14ac:dyDescent="0.3">
      <c r="A278" t="s">
        <v>620</v>
      </c>
      <c r="B278" t="s">
        <v>621</v>
      </c>
      <c r="C278" t="s">
        <v>36</v>
      </c>
      <c r="D278" t="s">
        <v>20</v>
      </c>
      <c r="E278">
        <v>35</v>
      </c>
      <c r="F278" t="s">
        <v>16</v>
      </c>
      <c r="G278" t="s">
        <v>17</v>
      </c>
      <c r="H278" t="s">
        <v>47</v>
      </c>
      <c r="I278">
        <v>13</v>
      </c>
      <c r="J278" s="1">
        <v>40</v>
      </c>
      <c r="K278" t="s">
        <v>2067</v>
      </c>
      <c r="M278">
        <v>3.6</v>
      </c>
      <c r="N278">
        <v>0</v>
      </c>
      <c r="O278" t="s">
        <v>2077</v>
      </c>
      <c r="P278">
        <v>0.83</v>
      </c>
      <c r="Q278" s="2">
        <v>0.83</v>
      </c>
      <c r="S278" s="5">
        <v>2.0750000000000001E-2</v>
      </c>
    </row>
    <row r="279" spans="1:19" x14ac:dyDescent="0.3">
      <c r="A279" t="s">
        <v>622</v>
      </c>
      <c r="B279" t="s">
        <v>623</v>
      </c>
      <c r="C279" t="s">
        <v>111</v>
      </c>
      <c r="D279" t="s">
        <v>80</v>
      </c>
      <c r="E279">
        <v>39</v>
      </c>
      <c r="F279" t="s">
        <v>83</v>
      </c>
      <c r="G279" t="s">
        <v>84</v>
      </c>
      <c r="H279" t="s">
        <v>60</v>
      </c>
      <c r="I279">
        <v>5</v>
      </c>
      <c r="J279" s="1">
        <v>40</v>
      </c>
      <c r="K279" t="s">
        <v>2068</v>
      </c>
      <c r="L279" t="s">
        <v>2067</v>
      </c>
      <c r="M279">
        <v>1.2</v>
      </c>
      <c r="N279">
        <v>0</v>
      </c>
      <c r="O279" t="s">
        <v>2077</v>
      </c>
      <c r="P279">
        <v>83</v>
      </c>
      <c r="Q279" s="2">
        <v>0.83</v>
      </c>
      <c r="R279">
        <v>0.83</v>
      </c>
      <c r="S279" s="5">
        <v>2.0750000000000001E-2</v>
      </c>
    </row>
    <row r="280" spans="1:19" x14ac:dyDescent="0.3">
      <c r="A280" t="s">
        <v>624</v>
      </c>
      <c r="B280" t="s">
        <v>625</v>
      </c>
      <c r="C280" t="s">
        <v>76</v>
      </c>
      <c r="D280" t="s">
        <v>80</v>
      </c>
      <c r="E280">
        <v>44</v>
      </c>
      <c r="F280" t="s">
        <v>91</v>
      </c>
      <c r="G280" t="s">
        <v>59</v>
      </c>
      <c r="H280" t="s">
        <v>108</v>
      </c>
      <c r="I280">
        <v>0</v>
      </c>
      <c r="M280">
        <v>4.8</v>
      </c>
      <c r="P280">
        <v>0.84</v>
      </c>
      <c r="Q280" s="2">
        <v>0.84</v>
      </c>
    </row>
    <row r="281" spans="1:19" x14ac:dyDescent="0.3">
      <c r="A281" t="s">
        <v>626</v>
      </c>
      <c r="B281" t="s">
        <v>627</v>
      </c>
      <c r="C281" t="s">
        <v>76</v>
      </c>
      <c r="D281" t="s">
        <v>80</v>
      </c>
      <c r="E281">
        <v>43</v>
      </c>
      <c r="F281" t="s">
        <v>58</v>
      </c>
      <c r="G281" t="s">
        <v>59</v>
      </c>
      <c r="H281" t="s">
        <v>60</v>
      </c>
      <c r="I281">
        <v>5</v>
      </c>
      <c r="J281" s="1">
        <v>50</v>
      </c>
      <c r="K281" t="s">
        <v>2068</v>
      </c>
      <c r="L281" t="s">
        <v>2071</v>
      </c>
      <c r="N281">
        <v>1</v>
      </c>
      <c r="O281" t="s">
        <v>2076</v>
      </c>
      <c r="P281">
        <v>0.84</v>
      </c>
      <c r="Q281" s="2">
        <v>0.84</v>
      </c>
      <c r="S281" s="5">
        <v>1.6799999999999999E-2</v>
      </c>
    </row>
    <row r="282" spans="1:19" x14ac:dyDescent="0.3">
      <c r="A282" t="s">
        <v>628</v>
      </c>
      <c r="B282" t="s">
        <v>629</v>
      </c>
      <c r="C282" t="s">
        <v>36</v>
      </c>
      <c r="D282" t="s">
        <v>20</v>
      </c>
      <c r="E282">
        <v>37</v>
      </c>
      <c r="F282" t="s">
        <v>254</v>
      </c>
      <c r="G282" t="s">
        <v>255</v>
      </c>
      <c r="H282" t="s">
        <v>47</v>
      </c>
      <c r="I282">
        <v>5</v>
      </c>
      <c r="M282">
        <v>4.8</v>
      </c>
      <c r="N282">
        <v>1</v>
      </c>
      <c r="O282" t="s">
        <v>2076</v>
      </c>
      <c r="P282">
        <v>0.61</v>
      </c>
      <c r="Q282" s="2">
        <v>0.61</v>
      </c>
    </row>
    <row r="283" spans="1:19" x14ac:dyDescent="0.3">
      <c r="A283" t="s">
        <v>630</v>
      </c>
      <c r="B283" t="s">
        <v>631</v>
      </c>
      <c r="C283" t="s">
        <v>15</v>
      </c>
      <c r="D283" t="s">
        <v>20</v>
      </c>
      <c r="E283">
        <v>21</v>
      </c>
      <c r="F283" t="s">
        <v>83</v>
      </c>
      <c r="G283" t="s">
        <v>84</v>
      </c>
      <c r="H283" t="s">
        <v>108</v>
      </c>
      <c r="I283">
        <v>2</v>
      </c>
      <c r="J283" s="1">
        <v>30</v>
      </c>
      <c r="K283" t="s">
        <v>2065</v>
      </c>
      <c r="L283" t="s">
        <v>2069</v>
      </c>
      <c r="M283">
        <v>3.8</v>
      </c>
      <c r="N283">
        <v>1</v>
      </c>
      <c r="O283" t="s">
        <v>2076</v>
      </c>
      <c r="P283">
        <v>0.98</v>
      </c>
      <c r="Q283" s="2">
        <v>0.98</v>
      </c>
      <c r="S283" s="5">
        <v>3.2666666666666698E-2</v>
      </c>
    </row>
    <row r="284" spans="1:19" x14ac:dyDescent="0.3">
      <c r="A284" t="s">
        <v>632</v>
      </c>
      <c r="B284" t="s">
        <v>633</v>
      </c>
      <c r="C284" t="s">
        <v>15</v>
      </c>
      <c r="D284" t="s">
        <v>20</v>
      </c>
      <c r="E284">
        <v>53</v>
      </c>
      <c r="F284" t="s">
        <v>42</v>
      </c>
      <c r="G284" t="s">
        <v>43</v>
      </c>
      <c r="H284" t="s">
        <v>39</v>
      </c>
      <c r="I284">
        <v>21</v>
      </c>
      <c r="J284" s="1">
        <v>40</v>
      </c>
      <c r="K284" t="s">
        <v>2067</v>
      </c>
      <c r="M284">
        <v>4.7</v>
      </c>
      <c r="N284">
        <v>1</v>
      </c>
      <c r="O284" t="s">
        <v>2076</v>
      </c>
      <c r="P284">
        <v>0.62</v>
      </c>
      <c r="Q284" s="2">
        <v>0.62</v>
      </c>
      <c r="S284" s="5">
        <v>1.55E-2</v>
      </c>
    </row>
    <row r="285" spans="1:19" x14ac:dyDescent="0.3">
      <c r="A285" t="s">
        <v>634</v>
      </c>
      <c r="B285" t="s">
        <v>635</v>
      </c>
      <c r="C285" t="s">
        <v>15</v>
      </c>
      <c r="D285" t="s">
        <v>20</v>
      </c>
      <c r="E285">
        <v>56</v>
      </c>
      <c r="F285" t="s">
        <v>27</v>
      </c>
      <c r="G285" t="s">
        <v>28</v>
      </c>
      <c r="H285" t="s">
        <v>52</v>
      </c>
      <c r="I285">
        <v>23</v>
      </c>
      <c r="J285" s="1">
        <v>75</v>
      </c>
      <c r="K285" t="s">
        <v>2066</v>
      </c>
      <c r="M285">
        <v>3.9</v>
      </c>
      <c r="N285">
        <v>1</v>
      </c>
      <c r="O285" t="s">
        <v>2076</v>
      </c>
    </row>
    <row r="286" spans="1:19" x14ac:dyDescent="0.3">
      <c r="A286" t="s">
        <v>636</v>
      </c>
      <c r="B286" t="s">
        <v>637</v>
      </c>
      <c r="C286" t="s">
        <v>36</v>
      </c>
      <c r="D286" t="s">
        <v>20</v>
      </c>
      <c r="E286">
        <v>53</v>
      </c>
      <c r="F286" t="s">
        <v>50</v>
      </c>
      <c r="G286" t="s">
        <v>51</v>
      </c>
      <c r="H286" t="s">
        <v>60</v>
      </c>
      <c r="I286">
        <v>12</v>
      </c>
      <c r="J286" s="1">
        <v>100</v>
      </c>
      <c r="K286" t="s">
        <v>2070</v>
      </c>
      <c r="M286">
        <v>4.7</v>
      </c>
      <c r="N286">
        <v>1</v>
      </c>
      <c r="O286" t="s">
        <v>2076</v>
      </c>
      <c r="P286">
        <v>0.87</v>
      </c>
      <c r="Q286" s="2">
        <v>0.87</v>
      </c>
      <c r="S286" s="5">
        <v>8.6999999999999994E-3</v>
      </c>
    </row>
    <row r="287" spans="1:19" x14ac:dyDescent="0.3">
      <c r="A287" t="s">
        <v>638</v>
      </c>
      <c r="B287" t="s">
        <v>639</v>
      </c>
      <c r="C287" t="s">
        <v>15</v>
      </c>
      <c r="D287" t="s">
        <v>20</v>
      </c>
      <c r="E287">
        <v>47</v>
      </c>
      <c r="F287" t="s">
        <v>27</v>
      </c>
      <c r="G287" t="s">
        <v>28</v>
      </c>
      <c r="H287" t="s">
        <v>108</v>
      </c>
      <c r="I287">
        <v>18</v>
      </c>
      <c r="J287" s="1">
        <v>75</v>
      </c>
      <c r="K287" t="s">
        <v>2066</v>
      </c>
      <c r="M287">
        <v>0</v>
      </c>
      <c r="N287">
        <v>0</v>
      </c>
      <c r="O287" t="s">
        <v>2077</v>
      </c>
    </row>
    <row r="288" spans="1:19" x14ac:dyDescent="0.3">
      <c r="A288" t="s">
        <v>640</v>
      </c>
      <c r="B288" t="s">
        <v>641</v>
      </c>
      <c r="C288" t="s">
        <v>15</v>
      </c>
      <c r="D288" t="s">
        <v>20</v>
      </c>
      <c r="E288">
        <v>29</v>
      </c>
      <c r="F288" t="s">
        <v>118</v>
      </c>
      <c r="G288" t="s">
        <v>119</v>
      </c>
      <c r="H288" t="s">
        <v>63</v>
      </c>
      <c r="I288">
        <v>9</v>
      </c>
      <c r="J288" s="1">
        <v>20</v>
      </c>
      <c r="K288" t="s">
        <v>2072</v>
      </c>
      <c r="P288">
        <v>0.68</v>
      </c>
      <c r="Q288" s="2">
        <v>0.68</v>
      </c>
      <c r="S288" s="5">
        <v>3.4000000000000002E-2</v>
      </c>
    </row>
    <row r="289" spans="1:19" x14ac:dyDescent="0.3">
      <c r="A289" t="s">
        <v>642</v>
      </c>
      <c r="B289" t="s">
        <v>643</v>
      </c>
      <c r="C289" t="s">
        <v>15</v>
      </c>
      <c r="D289" t="s">
        <v>20</v>
      </c>
      <c r="E289">
        <v>45</v>
      </c>
      <c r="F289" t="s">
        <v>58</v>
      </c>
      <c r="G289" t="s">
        <v>59</v>
      </c>
      <c r="H289" t="s">
        <v>39</v>
      </c>
      <c r="I289">
        <v>7</v>
      </c>
      <c r="J289" s="1">
        <v>75</v>
      </c>
      <c r="K289" t="s">
        <v>2066</v>
      </c>
      <c r="M289">
        <v>3</v>
      </c>
      <c r="N289">
        <v>1</v>
      </c>
      <c r="O289" t="s">
        <v>2076</v>
      </c>
      <c r="P289">
        <v>0.67</v>
      </c>
      <c r="Q289" s="2">
        <v>0.67</v>
      </c>
      <c r="S289" s="5">
        <v>8.9333333333333296E-3</v>
      </c>
    </row>
    <row r="290" spans="1:19" x14ac:dyDescent="0.3">
      <c r="A290" t="s">
        <v>644</v>
      </c>
      <c r="B290" t="s">
        <v>645</v>
      </c>
      <c r="C290" t="s">
        <v>15</v>
      </c>
      <c r="D290" t="s">
        <v>20</v>
      </c>
      <c r="E290">
        <v>50</v>
      </c>
      <c r="F290" t="s">
        <v>27</v>
      </c>
      <c r="G290" t="s">
        <v>28</v>
      </c>
      <c r="H290" t="s">
        <v>33</v>
      </c>
      <c r="I290">
        <v>22</v>
      </c>
      <c r="J290" s="1">
        <v>75</v>
      </c>
      <c r="K290" t="s">
        <v>2066</v>
      </c>
      <c r="M290">
        <v>3.7</v>
      </c>
      <c r="N290">
        <v>1</v>
      </c>
      <c r="O290" t="s">
        <v>2076</v>
      </c>
      <c r="P290">
        <v>0.7</v>
      </c>
      <c r="Q290" s="2">
        <v>0.7</v>
      </c>
      <c r="S290" s="5">
        <v>9.3333333333333306E-3</v>
      </c>
    </row>
    <row r="291" spans="1:19" x14ac:dyDescent="0.3">
      <c r="A291" t="s">
        <v>646</v>
      </c>
      <c r="B291" t="s">
        <v>647</v>
      </c>
      <c r="C291" t="s">
        <v>36</v>
      </c>
      <c r="D291" t="s">
        <v>20</v>
      </c>
      <c r="E291">
        <v>60</v>
      </c>
      <c r="F291" t="s">
        <v>139</v>
      </c>
      <c r="G291" t="s">
        <v>59</v>
      </c>
      <c r="H291" t="s">
        <v>66</v>
      </c>
      <c r="I291">
        <v>34</v>
      </c>
      <c r="M291">
        <v>2.5</v>
      </c>
      <c r="N291" t="b">
        <v>0</v>
      </c>
      <c r="O291" t="s">
        <v>2077</v>
      </c>
      <c r="P291">
        <v>0.93</v>
      </c>
      <c r="Q291" s="2">
        <v>0.93</v>
      </c>
    </row>
    <row r="292" spans="1:19" x14ac:dyDescent="0.3">
      <c r="A292" t="s">
        <v>648</v>
      </c>
      <c r="B292" t="s">
        <v>649</v>
      </c>
      <c r="C292" t="s">
        <v>76</v>
      </c>
      <c r="D292" t="s">
        <v>80</v>
      </c>
      <c r="E292">
        <v>54</v>
      </c>
      <c r="F292" t="s">
        <v>91</v>
      </c>
      <c r="G292" t="s">
        <v>59</v>
      </c>
      <c r="H292" t="s">
        <v>79</v>
      </c>
      <c r="I292">
        <v>33</v>
      </c>
      <c r="J292" s="1">
        <v>75</v>
      </c>
      <c r="K292" t="s">
        <v>2065</v>
      </c>
      <c r="L292" t="s">
        <v>2066</v>
      </c>
      <c r="M292">
        <v>0</v>
      </c>
      <c r="N292">
        <v>1</v>
      </c>
      <c r="O292" t="s">
        <v>2076</v>
      </c>
      <c r="P292">
        <v>0.62</v>
      </c>
      <c r="Q292" s="2">
        <v>0.62</v>
      </c>
      <c r="S292" s="5">
        <v>8.2666666666666704E-3</v>
      </c>
    </row>
    <row r="293" spans="1:19" x14ac:dyDescent="0.3">
      <c r="A293" t="s">
        <v>650</v>
      </c>
      <c r="B293" t="s">
        <v>651</v>
      </c>
      <c r="C293" t="s">
        <v>15</v>
      </c>
      <c r="D293" t="s">
        <v>20</v>
      </c>
      <c r="E293">
        <v>22</v>
      </c>
      <c r="F293" t="s">
        <v>101</v>
      </c>
      <c r="G293" t="s">
        <v>59</v>
      </c>
      <c r="H293" t="s">
        <v>60</v>
      </c>
      <c r="I293">
        <v>1</v>
      </c>
      <c r="M293">
        <v>2.6</v>
      </c>
      <c r="N293">
        <v>0</v>
      </c>
      <c r="O293" t="s">
        <v>2077</v>
      </c>
      <c r="P293">
        <v>0.72</v>
      </c>
      <c r="Q293" s="2">
        <v>0.72</v>
      </c>
    </row>
    <row r="294" spans="1:19" x14ac:dyDescent="0.3">
      <c r="A294" t="s">
        <v>652</v>
      </c>
      <c r="B294" t="s">
        <v>653</v>
      </c>
      <c r="C294" t="s">
        <v>111</v>
      </c>
      <c r="D294" t="s">
        <v>80</v>
      </c>
      <c r="E294">
        <v>31</v>
      </c>
      <c r="F294" t="s">
        <v>31</v>
      </c>
      <c r="G294" t="s">
        <v>32</v>
      </c>
      <c r="H294" t="s">
        <v>52</v>
      </c>
      <c r="I294">
        <v>2</v>
      </c>
      <c r="J294" s="1">
        <v>40</v>
      </c>
      <c r="K294" t="s">
        <v>2067</v>
      </c>
      <c r="M294">
        <v>2.2999999999999998</v>
      </c>
      <c r="N294" t="s">
        <v>53</v>
      </c>
      <c r="O294" t="s">
        <v>2077</v>
      </c>
      <c r="P294">
        <v>0.98</v>
      </c>
      <c r="Q294" s="2">
        <v>0.98</v>
      </c>
      <c r="S294" s="5">
        <v>2.4500000000000001E-2</v>
      </c>
    </row>
    <row r="295" spans="1:19" x14ac:dyDescent="0.3">
      <c r="A295" t="s">
        <v>654</v>
      </c>
      <c r="B295" t="s">
        <v>655</v>
      </c>
      <c r="C295" t="s">
        <v>76</v>
      </c>
      <c r="D295" t="s">
        <v>80</v>
      </c>
      <c r="E295">
        <v>27</v>
      </c>
      <c r="F295" t="s">
        <v>46</v>
      </c>
      <c r="G295" t="s">
        <v>17</v>
      </c>
      <c r="H295" t="s">
        <v>47</v>
      </c>
      <c r="I295">
        <v>7</v>
      </c>
      <c r="J295" s="1">
        <v>75</v>
      </c>
      <c r="K295" t="s">
        <v>2068</v>
      </c>
      <c r="L295" t="s">
        <v>2066</v>
      </c>
      <c r="M295">
        <v>2.8</v>
      </c>
      <c r="N295">
        <v>1</v>
      </c>
      <c r="O295" t="s">
        <v>2076</v>
      </c>
      <c r="P295">
        <v>0.92</v>
      </c>
      <c r="Q295" s="2">
        <v>0.92</v>
      </c>
      <c r="S295" s="5">
        <v>1.22666666666667E-2</v>
      </c>
    </row>
    <row r="296" spans="1:19" x14ac:dyDescent="0.3">
      <c r="A296" t="s">
        <v>656</v>
      </c>
      <c r="B296" t="s">
        <v>657</v>
      </c>
      <c r="C296" t="s">
        <v>111</v>
      </c>
      <c r="D296" t="s">
        <v>80</v>
      </c>
      <c r="E296">
        <v>31</v>
      </c>
      <c r="F296" t="s">
        <v>27</v>
      </c>
      <c r="G296" t="s">
        <v>28</v>
      </c>
      <c r="H296" t="s">
        <v>63</v>
      </c>
      <c r="I296">
        <v>10</v>
      </c>
      <c r="J296" s="1">
        <v>50</v>
      </c>
      <c r="K296" t="s">
        <v>2071</v>
      </c>
      <c r="M296">
        <v>0</v>
      </c>
      <c r="N296" t="s">
        <v>67</v>
      </c>
      <c r="O296" t="s">
        <v>2077</v>
      </c>
    </row>
    <row r="297" spans="1:19" x14ac:dyDescent="0.3">
      <c r="A297" t="s">
        <v>658</v>
      </c>
      <c r="B297" t="s">
        <v>659</v>
      </c>
      <c r="C297" t="s">
        <v>76</v>
      </c>
      <c r="D297" t="s">
        <v>80</v>
      </c>
      <c r="E297">
        <v>43</v>
      </c>
      <c r="F297" t="s">
        <v>101</v>
      </c>
      <c r="G297" t="s">
        <v>59</v>
      </c>
      <c r="H297" t="s">
        <v>39</v>
      </c>
      <c r="I297">
        <v>22</v>
      </c>
      <c r="J297" s="1">
        <v>40</v>
      </c>
      <c r="K297" t="s">
        <v>2067</v>
      </c>
      <c r="M297">
        <v>4.5</v>
      </c>
    </row>
    <row r="298" spans="1:19" x14ac:dyDescent="0.3">
      <c r="A298" t="s">
        <v>660</v>
      </c>
      <c r="B298" t="s">
        <v>661</v>
      </c>
      <c r="C298" t="s">
        <v>76</v>
      </c>
      <c r="D298" t="s">
        <v>80</v>
      </c>
      <c r="E298">
        <v>33</v>
      </c>
      <c r="F298" t="s">
        <v>155</v>
      </c>
      <c r="G298" t="s">
        <v>17</v>
      </c>
      <c r="H298" t="s">
        <v>66</v>
      </c>
      <c r="I298">
        <v>11</v>
      </c>
      <c r="J298" s="1">
        <v>50</v>
      </c>
      <c r="K298" t="s">
        <v>2071</v>
      </c>
      <c r="M298">
        <v>5</v>
      </c>
      <c r="N298" t="s">
        <v>19</v>
      </c>
      <c r="O298" t="s">
        <v>2076</v>
      </c>
      <c r="P298">
        <v>0.69</v>
      </c>
      <c r="Q298" s="2">
        <v>0.69</v>
      </c>
      <c r="S298" s="5">
        <v>1.38E-2</v>
      </c>
    </row>
    <row r="299" spans="1:19" x14ac:dyDescent="0.3">
      <c r="A299" t="s">
        <v>662</v>
      </c>
      <c r="B299" t="s">
        <v>663</v>
      </c>
      <c r="C299" t="s">
        <v>111</v>
      </c>
      <c r="D299" t="s">
        <v>80</v>
      </c>
      <c r="E299">
        <v>31</v>
      </c>
      <c r="F299" t="s">
        <v>101</v>
      </c>
      <c r="G299" t="s">
        <v>59</v>
      </c>
      <c r="H299" t="s">
        <v>39</v>
      </c>
      <c r="I299">
        <v>4</v>
      </c>
      <c r="J299" s="1">
        <v>40</v>
      </c>
      <c r="K299" t="s">
        <v>2067</v>
      </c>
      <c r="M299">
        <v>3.2</v>
      </c>
      <c r="N299">
        <v>1</v>
      </c>
      <c r="O299" t="s">
        <v>2076</v>
      </c>
      <c r="P299">
        <v>0.78</v>
      </c>
      <c r="Q299" s="2">
        <v>0.78</v>
      </c>
      <c r="S299" s="5">
        <v>1.95E-2</v>
      </c>
    </row>
    <row r="300" spans="1:19" x14ac:dyDescent="0.3">
      <c r="A300" t="s">
        <v>664</v>
      </c>
      <c r="B300" t="s">
        <v>665</v>
      </c>
      <c r="C300" t="s">
        <v>111</v>
      </c>
      <c r="D300" t="s">
        <v>80</v>
      </c>
      <c r="E300">
        <v>23</v>
      </c>
      <c r="F300" t="s">
        <v>139</v>
      </c>
      <c r="G300" t="s">
        <v>59</v>
      </c>
      <c r="H300" t="s">
        <v>39</v>
      </c>
      <c r="I300">
        <v>0</v>
      </c>
      <c r="J300" s="1">
        <v>20</v>
      </c>
      <c r="K300" t="s">
        <v>2072</v>
      </c>
      <c r="M300">
        <v>4.7</v>
      </c>
      <c r="N300" t="s">
        <v>96</v>
      </c>
      <c r="O300" t="s">
        <v>2076</v>
      </c>
      <c r="P300">
        <v>0.6</v>
      </c>
      <c r="Q300" s="2">
        <v>0.6</v>
      </c>
      <c r="S300" s="5">
        <v>0.03</v>
      </c>
    </row>
    <row r="301" spans="1:19" x14ac:dyDescent="0.3">
      <c r="A301" t="s">
        <v>666</v>
      </c>
      <c r="B301" t="s">
        <v>667</v>
      </c>
      <c r="C301" t="s">
        <v>76</v>
      </c>
      <c r="D301" t="s">
        <v>80</v>
      </c>
      <c r="E301">
        <v>29</v>
      </c>
      <c r="F301" t="s">
        <v>155</v>
      </c>
      <c r="G301" t="s">
        <v>17</v>
      </c>
      <c r="H301" t="s">
        <v>108</v>
      </c>
      <c r="I301">
        <v>10</v>
      </c>
      <c r="M301">
        <v>4.4000000000000004</v>
      </c>
      <c r="N301" t="s">
        <v>96</v>
      </c>
      <c r="O301" t="s">
        <v>2076</v>
      </c>
      <c r="P301">
        <v>0.67</v>
      </c>
      <c r="Q301" s="2">
        <v>0.67</v>
      </c>
    </row>
    <row r="302" spans="1:19" x14ac:dyDescent="0.3">
      <c r="A302" t="s">
        <v>668</v>
      </c>
      <c r="B302" t="s">
        <v>669</v>
      </c>
      <c r="C302" t="s">
        <v>111</v>
      </c>
      <c r="D302" t="s">
        <v>80</v>
      </c>
      <c r="E302">
        <v>20</v>
      </c>
      <c r="F302" t="s">
        <v>16</v>
      </c>
      <c r="G302" t="s">
        <v>17</v>
      </c>
      <c r="H302" t="s">
        <v>79</v>
      </c>
      <c r="I302">
        <v>2</v>
      </c>
      <c r="J302" s="1">
        <v>30</v>
      </c>
      <c r="K302" t="s">
        <v>2069</v>
      </c>
      <c r="M302">
        <v>0</v>
      </c>
      <c r="N302">
        <v>0</v>
      </c>
      <c r="O302" t="s">
        <v>2077</v>
      </c>
      <c r="P302">
        <v>0.94</v>
      </c>
      <c r="Q302" s="2">
        <v>0.94</v>
      </c>
      <c r="S302" s="5">
        <v>3.1333333333333303E-2</v>
      </c>
    </row>
    <row r="303" spans="1:19" x14ac:dyDescent="0.3">
      <c r="A303" t="s">
        <v>670</v>
      </c>
      <c r="B303" t="s">
        <v>671</v>
      </c>
      <c r="C303" t="s">
        <v>111</v>
      </c>
      <c r="D303" t="s">
        <v>80</v>
      </c>
      <c r="E303">
        <v>39</v>
      </c>
      <c r="F303" t="s">
        <v>42</v>
      </c>
      <c r="G303" t="s">
        <v>43</v>
      </c>
      <c r="H303" t="s">
        <v>33</v>
      </c>
      <c r="I303">
        <v>12</v>
      </c>
      <c r="J303" s="1">
        <v>20</v>
      </c>
      <c r="K303" t="s">
        <v>2065</v>
      </c>
      <c r="L303" t="s">
        <v>2072</v>
      </c>
      <c r="M303">
        <v>3.2</v>
      </c>
      <c r="N303" t="b">
        <v>1</v>
      </c>
      <c r="O303" t="s">
        <v>2076</v>
      </c>
      <c r="P303">
        <v>0.66</v>
      </c>
      <c r="Q303" s="2">
        <v>0.66</v>
      </c>
      <c r="S303" s="5">
        <v>3.3000000000000002E-2</v>
      </c>
    </row>
    <row r="304" spans="1:19" x14ac:dyDescent="0.3">
      <c r="A304" t="s">
        <v>672</v>
      </c>
      <c r="B304" t="s">
        <v>673</v>
      </c>
      <c r="C304" t="s">
        <v>76</v>
      </c>
      <c r="D304" t="s">
        <v>80</v>
      </c>
      <c r="E304">
        <v>49</v>
      </c>
      <c r="F304" t="s">
        <v>104</v>
      </c>
      <c r="G304" t="s">
        <v>105</v>
      </c>
      <c r="H304" t="s">
        <v>39</v>
      </c>
      <c r="I304">
        <v>11</v>
      </c>
      <c r="J304" s="1">
        <v>75</v>
      </c>
      <c r="K304" t="s">
        <v>2066</v>
      </c>
      <c r="M304">
        <v>3.8</v>
      </c>
      <c r="N304" t="s">
        <v>96</v>
      </c>
      <c r="O304" t="s">
        <v>2076</v>
      </c>
      <c r="P304">
        <v>0.93</v>
      </c>
      <c r="Q304" s="2">
        <v>0.93</v>
      </c>
      <c r="S304" s="5">
        <v>1.24E-2</v>
      </c>
    </row>
    <row r="305" spans="1:19" x14ac:dyDescent="0.3">
      <c r="A305" t="s">
        <v>674</v>
      </c>
      <c r="B305" t="s">
        <v>675</v>
      </c>
      <c r="C305" t="s">
        <v>76</v>
      </c>
      <c r="D305" t="s">
        <v>80</v>
      </c>
      <c r="E305">
        <v>44</v>
      </c>
      <c r="F305" t="s">
        <v>50</v>
      </c>
      <c r="G305" t="s">
        <v>51</v>
      </c>
      <c r="H305" t="s">
        <v>39</v>
      </c>
      <c r="I305">
        <v>3</v>
      </c>
      <c r="J305" s="1">
        <v>20</v>
      </c>
      <c r="K305" t="s">
        <v>2065</v>
      </c>
      <c r="L305" t="s">
        <v>2072</v>
      </c>
      <c r="M305">
        <v>5</v>
      </c>
      <c r="N305" t="s">
        <v>19</v>
      </c>
      <c r="O305" t="s">
        <v>2076</v>
      </c>
      <c r="P305">
        <v>0.75</v>
      </c>
      <c r="Q305" s="2">
        <v>0.75</v>
      </c>
      <c r="S305" s="5">
        <v>3.7499999999999999E-2</v>
      </c>
    </row>
    <row r="306" spans="1:19" x14ac:dyDescent="0.3">
      <c r="A306" t="s">
        <v>676</v>
      </c>
      <c r="B306" t="s">
        <v>677</v>
      </c>
      <c r="C306" t="s">
        <v>76</v>
      </c>
      <c r="D306" t="s">
        <v>80</v>
      </c>
      <c r="E306">
        <v>52</v>
      </c>
      <c r="F306" t="s">
        <v>42</v>
      </c>
      <c r="G306" t="s">
        <v>43</v>
      </c>
      <c r="H306" t="s">
        <v>39</v>
      </c>
      <c r="I306">
        <v>28</v>
      </c>
      <c r="J306" s="1">
        <v>20</v>
      </c>
      <c r="K306" t="s">
        <v>2065</v>
      </c>
      <c r="L306" t="s">
        <v>2072</v>
      </c>
      <c r="N306">
        <v>0</v>
      </c>
      <c r="O306" t="s">
        <v>2077</v>
      </c>
    </row>
    <row r="307" spans="1:19" x14ac:dyDescent="0.3">
      <c r="A307" t="s">
        <v>678</v>
      </c>
      <c r="B307" t="s">
        <v>679</v>
      </c>
      <c r="C307" t="s">
        <v>111</v>
      </c>
      <c r="D307" t="s">
        <v>80</v>
      </c>
      <c r="E307">
        <v>33</v>
      </c>
      <c r="F307" t="s">
        <v>42</v>
      </c>
      <c r="G307" t="s">
        <v>43</v>
      </c>
      <c r="H307" t="s">
        <v>79</v>
      </c>
      <c r="I307">
        <v>3</v>
      </c>
      <c r="J307" s="1">
        <v>40</v>
      </c>
      <c r="K307" t="s">
        <v>2065</v>
      </c>
      <c r="L307" t="s">
        <v>2067</v>
      </c>
      <c r="M307">
        <v>1.6</v>
      </c>
      <c r="P307">
        <v>0.83</v>
      </c>
      <c r="Q307" s="2">
        <v>0.83</v>
      </c>
      <c r="S307" s="5">
        <v>2.0750000000000001E-2</v>
      </c>
    </row>
    <row r="308" spans="1:19" x14ac:dyDescent="0.3">
      <c r="A308" t="s">
        <v>680</v>
      </c>
      <c r="B308" t="s">
        <v>681</v>
      </c>
      <c r="C308" t="s">
        <v>111</v>
      </c>
      <c r="D308" t="s">
        <v>80</v>
      </c>
      <c r="E308">
        <v>45</v>
      </c>
      <c r="F308" t="s">
        <v>37</v>
      </c>
      <c r="G308" t="s">
        <v>38</v>
      </c>
      <c r="H308" t="s">
        <v>39</v>
      </c>
      <c r="I308">
        <v>23</v>
      </c>
      <c r="J308" s="1">
        <v>50</v>
      </c>
      <c r="K308" t="s">
        <v>2068</v>
      </c>
      <c r="L308" t="s">
        <v>2071</v>
      </c>
      <c r="M308">
        <v>0</v>
      </c>
      <c r="N308">
        <v>0</v>
      </c>
      <c r="O308" t="s">
        <v>2077</v>
      </c>
      <c r="P308">
        <v>0.66</v>
      </c>
      <c r="Q308" s="2">
        <v>0.66</v>
      </c>
      <c r="S308" s="5">
        <v>1.32E-2</v>
      </c>
    </row>
    <row r="309" spans="1:19" x14ac:dyDescent="0.3">
      <c r="A309" t="s">
        <v>682</v>
      </c>
      <c r="B309" t="s">
        <v>683</v>
      </c>
      <c r="C309" t="s">
        <v>111</v>
      </c>
      <c r="D309" t="s">
        <v>80</v>
      </c>
      <c r="E309">
        <v>38</v>
      </c>
      <c r="F309" t="s">
        <v>188</v>
      </c>
      <c r="G309" t="s">
        <v>189</v>
      </c>
      <c r="H309" t="s">
        <v>52</v>
      </c>
      <c r="I309">
        <v>14</v>
      </c>
      <c r="M309">
        <v>1.1000000000000001</v>
      </c>
      <c r="N309">
        <v>1</v>
      </c>
      <c r="O309" t="s">
        <v>2076</v>
      </c>
      <c r="P309">
        <v>0.76</v>
      </c>
      <c r="Q309" s="2">
        <v>0.76</v>
      </c>
    </row>
    <row r="310" spans="1:19" x14ac:dyDescent="0.3">
      <c r="A310" t="s">
        <v>684</v>
      </c>
      <c r="B310" t="s">
        <v>685</v>
      </c>
      <c r="C310" t="s">
        <v>76</v>
      </c>
      <c r="D310" t="s">
        <v>80</v>
      </c>
      <c r="E310">
        <v>24</v>
      </c>
      <c r="F310" t="s">
        <v>104</v>
      </c>
      <c r="G310" t="s">
        <v>105</v>
      </c>
      <c r="H310" t="s">
        <v>66</v>
      </c>
      <c r="I310">
        <v>2</v>
      </c>
      <c r="J310" s="1">
        <v>50</v>
      </c>
      <c r="K310" t="s">
        <v>2065</v>
      </c>
      <c r="L310" t="s">
        <v>2071</v>
      </c>
      <c r="N310" t="s">
        <v>53</v>
      </c>
      <c r="O310" t="s">
        <v>2077</v>
      </c>
      <c r="P310">
        <v>0.64</v>
      </c>
      <c r="Q310" s="2">
        <v>0.64</v>
      </c>
      <c r="S310" s="5">
        <v>1.2800000000000001E-2</v>
      </c>
    </row>
    <row r="311" spans="1:19" x14ac:dyDescent="0.3">
      <c r="A311" t="s">
        <v>686</v>
      </c>
      <c r="B311" t="s">
        <v>687</v>
      </c>
      <c r="C311" t="s">
        <v>15</v>
      </c>
      <c r="D311" t="s">
        <v>20</v>
      </c>
      <c r="E311">
        <v>22</v>
      </c>
      <c r="F311" t="s">
        <v>104</v>
      </c>
      <c r="G311" t="s">
        <v>105</v>
      </c>
      <c r="H311" t="s">
        <v>66</v>
      </c>
      <c r="I311">
        <v>4</v>
      </c>
      <c r="M311">
        <v>1</v>
      </c>
      <c r="N311" t="s">
        <v>19</v>
      </c>
      <c r="O311" t="s">
        <v>2076</v>
      </c>
    </row>
    <row r="312" spans="1:19" x14ac:dyDescent="0.3">
      <c r="A312" t="s">
        <v>688</v>
      </c>
      <c r="B312" t="s">
        <v>689</v>
      </c>
      <c r="C312" t="s">
        <v>36</v>
      </c>
      <c r="D312" t="s">
        <v>20</v>
      </c>
      <c r="E312">
        <v>49</v>
      </c>
      <c r="F312" t="s">
        <v>23</v>
      </c>
      <c r="G312" t="s">
        <v>24</v>
      </c>
      <c r="H312" t="s">
        <v>39</v>
      </c>
      <c r="I312">
        <v>1</v>
      </c>
      <c r="M312">
        <v>0</v>
      </c>
      <c r="N312">
        <v>0</v>
      </c>
      <c r="O312" t="s">
        <v>2077</v>
      </c>
      <c r="P312">
        <v>0.82</v>
      </c>
      <c r="Q312" s="2">
        <v>0.82</v>
      </c>
    </row>
    <row r="313" spans="1:19" x14ac:dyDescent="0.3">
      <c r="A313" t="s">
        <v>690</v>
      </c>
      <c r="B313" t="s">
        <v>691</v>
      </c>
      <c r="C313" t="s">
        <v>15</v>
      </c>
      <c r="D313" t="s">
        <v>20</v>
      </c>
      <c r="E313">
        <v>29</v>
      </c>
      <c r="F313" t="s">
        <v>42</v>
      </c>
      <c r="G313" t="s">
        <v>43</v>
      </c>
      <c r="H313" t="s">
        <v>18</v>
      </c>
      <c r="I313">
        <v>0</v>
      </c>
      <c r="J313" s="1">
        <v>75</v>
      </c>
      <c r="K313" t="s">
        <v>2065</v>
      </c>
      <c r="L313" t="s">
        <v>2066</v>
      </c>
      <c r="M313">
        <v>1.5</v>
      </c>
      <c r="N313" t="b">
        <v>1</v>
      </c>
      <c r="O313" t="s">
        <v>2076</v>
      </c>
      <c r="P313">
        <v>0.64</v>
      </c>
      <c r="Q313" s="2">
        <v>0.64</v>
      </c>
      <c r="S313" s="5">
        <v>8.5333333333333407E-3</v>
      </c>
    </row>
    <row r="314" spans="1:19" x14ac:dyDescent="0.3">
      <c r="A314" t="s">
        <v>692</v>
      </c>
      <c r="B314" t="s">
        <v>693</v>
      </c>
      <c r="C314" t="s">
        <v>36</v>
      </c>
      <c r="D314" t="s">
        <v>20</v>
      </c>
      <c r="E314">
        <v>52</v>
      </c>
      <c r="F314" t="s">
        <v>31</v>
      </c>
      <c r="G314" t="s">
        <v>32</v>
      </c>
      <c r="H314" t="s">
        <v>33</v>
      </c>
      <c r="I314">
        <v>10</v>
      </c>
      <c r="J314" s="1">
        <v>75</v>
      </c>
      <c r="K314" t="s">
        <v>2068</v>
      </c>
      <c r="L314" t="s">
        <v>2066</v>
      </c>
      <c r="M314">
        <v>3.1</v>
      </c>
      <c r="N314">
        <v>0</v>
      </c>
      <c r="O314" t="s">
        <v>2077</v>
      </c>
      <c r="P314">
        <v>0.94</v>
      </c>
      <c r="Q314" s="2">
        <v>0.94</v>
      </c>
      <c r="S314" s="5">
        <v>1.2533333333333301E-2</v>
      </c>
    </row>
    <row r="315" spans="1:19" x14ac:dyDescent="0.3">
      <c r="A315" t="s">
        <v>694</v>
      </c>
      <c r="B315" t="s">
        <v>695</v>
      </c>
      <c r="C315" t="s">
        <v>15</v>
      </c>
      <c r="D315" t="s">
        <v>20</v>
      </c>
      <c r="E315">
        <v>55</v>
      </c>
      <c r="F315" t="s">
        <v>23</v>
      </c>
      <c r="G315" t="s">
        <v>24</v>
      </c>
      <c r="H315" t="s">
        <v>108</v>
      </c>
      <c r="I315">
        <v>37</v>
      </c>
      <c r="J315" s="1">
        <v>75</v>
      </c>
      <c r="K315" t="s">
        <v>2068</v>
      </c>
      <c r="L315" t="s">
        <v>2066</v>
      </c>
      <c r="M315">
        <v>4.0999999999999996</v>
      </c>
      <c r="N315" t="s">
        <v>67</v>
      </c>
      <c r="O315" t="s">
        <v>2077</v>
      </c>
    </row>
    <row r="316" spans="1:19" x14ac:dyDescent="0.3">
      <c r="A316" t="s">
        <v>696</v>
      </c>
      <c r="B316" t="s">
        <v>697</v>
      </c>
      <c r="C316" t="s">
        <v>36</v>
      </c>
      <c r="D316" t="s">
        <v>20</v>
      </c>
      <c r="E316">
        <v>59</v>
      </c>
      <c r="F316" t="s">
        <v>87</v>
      </c>
      <c r="G316" t="s">
        <v>88</v>
      </c>
      <c r="H316" t="s">
        <v>18</v>
      </c>
      <c r="I316">
        <v>25</v>
      </c>
      <c r="J316" s="1">
        <v>20</v>
      </c>
      <c r="K316" t="s">
        <v>2072</v>
      </c>
      <c r="M316">
        <v>4</v>
      </c>
      <c r="N316">
        <v>0</v>
      </c>
      <c r="O316" t="s">
        <v>2077</v>
      </c>
      <c r="P316">
        <v>0.9</v>
      </c>
      <c r="Q316" s="2">
        <v>0.9</v>
      </c>
      <c r="S316" s="5">
        <v>4.4999999999999998E-2</v>
      </c>
    </row>
    <row r="317" spans="1:19" x14ac:dyDescent="0.3">
      <c r="A317" t="s">
        <v>698</v>
      </c>
      <c r="B317" t="s">
        <v>699</v>
      </c>
      <c r="C317" t="s">
        <v>36</v>
      </c>
      <c r="D317" t="s">
        <v>20</v>
      </c>
      <c r="E317">
        <v>42</v>
      </c>
      <c r="F317" t="s">
        <v>42</v>
      </c>
      <c r="G317" t="s">
        <v>43</v>
      </c>
      <c r="H317" t="s">
        <v>63</v>
      </c>
      <c r="I317">
        <v>0</v>
      </c>
      <c r="M317">
        <v>3.9</v>
      </c>
      <c r="N317" t="b">
        <v>0</v>
      </c>
      <c r="O317" t="s">
        <v>2077</v>
      </c>
      <c r="P317">
        <v>0.62</v>
      </c>
      <c r="Q317" s="2">
        <v>0.62</v>
      </c>
    </row>
    <row r="318" spans="1:19" x14ac:dyDescent="0.3">
      <c r="A318" t="s">
        <v>700</v>
      </c>
      <c r="B318" t="s">
        <v>701</v>
      </c>
      <c r="C318" t="s">
        <v>76</v>
      </c>
      <c r="D318" t="s">
        <v>80</v>
      </c>
      <c r="E318">
        <v>54</v>
      </c>
      <c r="F318" t="s">
        <v>87</v>
      </c>
      <c r="G318" t="s">
        <v>88</v>
      </c>
      <c r="H318" t="s">
        <v>18</v>
      </c>
      <c r="I318">
        <v>4</v>
      </c>
      <c r="M318">
        <v>1.4</v>
      </c>
      <c r="N318" t="b">
        <v>1</v>
      </c>
      <c r="O318" t="s">
        <v>2076</v>
      </c>
      <c r="P318">
        <v>0.74</v>
      </c>
      <c r="Q318" s="2">
        <v>0.74</v>
      </c>
    </row>
    <row r="319" spans="1:19" x14ac:dyDescent="0.3">
      <c r="A319" t="s">
        <v>702</v>
      </c>
      <c r="B319" t="s">
        <v>703</v>
      </c>
      <c r="C319" t="s">
        <v>76</v>
      </c>
      <c r="D319" t="s">
        <v>80</v>
      </c>
      <c r="E319">
        <v>37</v>
      </c>
      <c r="F319" t="s">
        <v>31</v>
      </c>
      <c r="G319" t="s">
        <v>32</v>
      </c>
      <c r="H319" t="s">
        <v>52</v>
      </c>
      <c r="I319">
        <v>9</v>
      </c>
      <c r="J319" s="1">
        <v>30</v>
      </c>
      <c r="K319" t="s">
        <v>2065</v>
      </c>
      <c r="L319" t="s">
        <v>2069</v>
      </c>
      <c r="M319">
        <v>2.7</v>
      </c>
      <c r="N319">
        <v>1</v>
      </c>
      <c r="O319" t="s">
        <v>2076</v>
      </c>
    </row>
    <row r="320" spans="1:19" x14ac:dyDescent="0.3">
      <c r="A320" t="s">
        <v>704</v>
      </c>
      <c r="B320" t="s">
        <v>705</v>
      </c>
      <c r="C320" t="s">
        <v>76</v>
      </c>
      <c r="D320" t="s">
        <v>80</v>
      </c>
      <c r="E320">
        <v>36</v>
      </c>
      <c r="F320" t="s">
        <v>139</v>
      </c>
      <c r="G320" t="s">
        <v>59</v>
      </c>
      <c r="H320" t="s">
        <v>63</v>
      </c>
      <c r="I320">
        <v>8</v>
      </c>
      <c r="J320" s="1">
        <v>50</v>
      </c>
      <c r="K320" t="s">
        <v>2071</v>
      </c>
      <c r="M320">
        <v>4.3</v>
      </c>
      <c r="N320">
        <v>0</v>
      </c>
      <c r="O320" t="s">
        <v>2077</v>
      </c>
      <c r="P320">
        <v>0.9</v>
      </c>
      <c r="Q320" s="2">
        <v>0.9</v>
      </c>
      <c r="S320" s="5">
        <v>1.7999999999999999E-2</v>
      </c>
    </row>
    <row r="321" spans="1:19" x14ac:dyDescent="0.3">
      <c r="A321" t="s">
        <v>706</v>
      </c>
      <c r="B321" t="s">
        <v>707</v>
      </c>
      <c r="C321" t="s">
        <v>76</v>
      </c>
      <c r="D321" t="s">
        <v>80</v>
      </c>
      <c r="E321">
        <v>20</v>
      </c>
      <c r="F321" t="s">
        <v>91</v>
      </c>
      <c r="G321" t="s">
        <v>59</v>
      </c>
      <c r="H321" t="s">
        <v>33</v>
      </c>
      <c r="I321">
        <v>2</v>
      </c>
      <c r="J321" s="1">
        <v>40</v>
      </c>
      <c r="K321" t="s">
        <v>2067</v>
      </c>
      <c r="N321">
        <v>1</v>
      </c>
      <c r="O321" t="s">
        <v>2076</v>
      </c>
      <c r="P321">
        <v>0.91</v>
      </c>
      <c r="Q321" s="2">
        <v>0.91</v>
      </c>
      <c r="S321" s="5">
        <v>2.2749999999999999E-2</v>
      </c>
    </row>
    <row r="322" spans="1:19" x14ac:dyDescent="0.3">
      <c r="A322" t="s">
        <v>708</v>
      </c>
      <c r="B322" t="s">
        <v>709</v>
      </c>
      <c r="C322" t="s">
        <v>76</v>
      </c>
      <c r="D322" t="s">
        <v>80</v>
      </c>
      <c r="E322">
        <v>23</v>
      </c>
      <c r="F322" t="s">
        <v>91</v>
      </c>
      <c r="G322" t="s">
        <v>59</v>
      </c>
      <c r="H322" t="s">
        <v>18</v>
      </c>
      <c r="I322">
        <v>0</v>
      </c>
      <c r="J322" s="1">
        <v>30</v>
      </c>
      <c r="K322" t="s">
        <v>2069</v>
      </c>
      <c r="M322">
        <v>1.1000000000000001</v>
      </c>
      <c r="N322" t="s">
        <v>19</v>
      </c>
      <c r="O322" t="s">
        <v>2076</v>
      </c>
      <c r="P322">
        <v>0.86</v>
      </c>
      <c r="Q322" s="2">
        <v>0.86</v>
      </c>
      <c r="S322" s="5">
        <v>2.8666666666666701E-2</v>
      </c>
    </row>
    <row r="323" spans="1:19" x14ac:dyDescent="0.3">
      <c r="A323" t="s">
        <v>710</v>
      </c>
      <c r="B323" t="s">
        <v>711</v>
      </c>
      <c r="C323" t="s">
        <v>76</v>
      </c>
      <c r="D323" t="s">
        <v>80</v>
      </c>
      <c r="E323">
        <v>37</v>
      </c>
      <c r="F323" t="s">
        <v>77</v>
      </c>
      <c r="G323" t="s">
        <v>78</v>
      </c>
      <c r="H323" t="s">
        <v>108</v>
      </c>
      <c r="I323">
        <v>6</v>
      </c>
      <c r="J323" s="1">
        <v>20</v>
      </c>
      <c r="K323" t="s">
        <v>2072</v>
      </c>
      <c r="P323">
        <v>0.99</v>
      </c>
      <c r="Q323" s="2">
        <v>0.99</v>
      </c>
      <c r="S323" s="5">
        <v>4.9500000000000002E-2</v>
      </c>
    </row>
    <row r="324" spans="1:19" x14ac:dyDescent="0.3">
      <c r="A324" t="s">
        <v>712</v>
      </c>
      <c r="B324" t="s">
        <v>713</v>
      </c>
      <c r="C324" t="s">
        <v>15</v>
      </c>
      <c r="D324" t="s">
        <v>20</v>
      </c>
      <c r="E324">
        <v>48</v>
      </c>
      <c r="F324" t="s">
        <v>83</v>
      </c>
      <c r="G324" t="s">
        <v>84</v>
      </c>
      <c r="H324" t="s">
        <v>108</v>
      </c>
      <c r="I324">
        <v>10</v>
      </c>
      <c r="M324">
        <v>3.1</v>
      </c>
      <c r="N324" t="b">
        <v>0</v>
      </c>
      <c r="O324" t="s">
        <v>2077</v>
      </c>
    </row>
    <row r="325" spans="1:19" x14ac:dyDescent="0.3">
      <c r="A325" t="s">
        <v>714</v>
      </c>
      <c r="B325" t="s">
        <v>715</v>
      </c>
      <c r="C325" t="s">
        <v>36</v>
      </c>
      <c r="D325" t="s">
        <v>20</v>
      </c>
      <c r="E325">
        <v>22</v>
      </c>
      <c r="F325" t="s">
        <v>50</v>
      </c>
      <c r="G325" t="s">
        <v>51</v>
      </c>
      <c r="H325" t="s">
        <v>33</v>
      </c>
      <c r="I325">
        <v>1</v>
      </c>
      <c r="J325" s="1">
        <v>20</v>
      </c>
      <c r="K325" t="s">
        <v>2072</v>
      </c>
      <c r="M325">
        <v>1.7</v>
      </c>
      <c r="N325" t="s">
        <v>53</v>
      </c>
      <c r="O325" t="s">
        <v>2077</v>
      </c>
      <c r="P325">
        <v>0.78</v>
      </c>
      <c r="Q325" s="2">
        <v>0.78</v>
      </c>
      <c r="S325" s="5">
        <v>3.9E-2</v>
      </c>
    </row>
    <row r="326" spans="1:19" x14ac:dyDescent="0.3">
      <c r="A326" t="s">
        <v>716</v>
      </c>
      <c r="B326" t="s">
        <v>717</v>
      </c>
      <c r="C326" t="s">
        <v>15</v>
      </c>
      <c r="D326" t="s">
        <v>20</v>
      </c>
      <c r="E326">
        <v>37</v>
      </c>
      <c r="F326" t="s">
        <v>101</v>
      </c>
      <c r="G326" t="s">
        <v>59</v>
      </c>
      <c r="H326" t="s">
        <v>79</v>
      </c>
      <c r="I326">
        <v>4</v>
      </c>
      <c r="J326" s="1">
        <v>75</v>
      </c>
      <c r="K326" t="s">
        <v>2066</v>
      </c>
      <c r="M326">
        <v>3.2</v>
      </c>
      <c r="N326" t="b">
        <v>0</v>
      </c>
      <c r="O326" t="s">
        <v>2077</v>
      </c>
      <c r="P326">
        <v>0.76</v>
      </c>
      <c r="Q326" s="2">
        <v>0.76</v>
      </c>
      <c r="S326" s="5">
        <v>1.01333333333333E-2</v>
      </c>
    </row>
    <row r="327" spans="1:19" x14ac:dyDescent="0.3">
      <c r="A327" t="s">
        <v>718</v>
      </c>
      <c r="B327" t="s">
        <v>719</v>
      </c>
      <c r="C327" t="s">
        <v>36</v>
      </c>
      <c r="D327" t="s">
        <v>20</v>
      </c>
      <c r="E327">
        <v>33</v>
      </c>
      <c r="F327" t="s">
        <v>77</v>
      </c>
      <c r="G327" t="s">
        <v>78</v>
      </c>
      <c r="H327" t="s">
        <v>108</v>
      </c>
      <c r="I327">
        <v>13</v>
      </c>
      <c r="J327" s="1">
        <v>75</v>
      </c>
      <c r="K327" t="s">
        <v>2068</v>
      </c>
      <c r="L327" t="s">
        <v>2066</v>
      </c>
      <c r="M327">
        <v>0</v>
      </c>
      <c r="N327" t="b">
        <v>1</v>
      </c>
      <c r="O327" t="s">
        <v>2076</v>
      </c>
    </row>
    <row r="328" spans="1:19" x14ac:dyDescent="0.3">
      <c r="A328" t="s">
        <v>720</v>
      </c>
      <c r="B328" t="s">
        <v>721</v>
      </c>
      <c r="C328" t="s">
        <v>36</v>
      </c>
      <c r="D328" t="s">
        <v>20</v>
      </c>
      <c r="E328">
        <v>43</v>
      </c>
      <c r="F328" t="s">
        <v>27</v>
      </c>
      <c r="G328" t="s">
        <v>28</v>
      </c>
      <c r="H328" t="s">
        <v>63</v>
      </c>
      <c r="I328">
        <v>6</v>
      </c>
      <c r="J328" s="1">
        <v>50</v>
      </c>
      <c r="K328" t="s">
        <v>2071</v>
      </c>
      <c r="M328">
        <v>0</v>
      </c>
      <c r="N328">
        <v>0</v>
      </c>
      <c r="O328" t="s">
        <v>2077</v>
      </c>
      <c r="P328">
        <v>81</v>
      </c>
      <c r="Q328" s="2">
        <v>0.81</v>
      </c>
      <c r="R328">
        <v>0.81</v>
      </c>
      <c r="S328" s="5">
        <v>1.6199999999999999E-2</v>
      </c>
    </row>
    <row r="329" spans="1:19" x14ac:dyDescent="0.3">
      <c r="A329" t="s">
        <v>722</v>
      </c>
      <c r="B329" t="s">
        <v>723</v>
      </c>
      <c r="C329" t="s">
        <v>15</v>
      </c>
      <c r="D329" t="s">
        <v>20</v>
      </c>
      <c r="E329">
        <v>47</v>
      </c>
      <c r="F329" t="s">
        <v>23</v>
      </c>
      <c r="G329" t="s">
        <v>24</v>
      </c>
      <c r="H329" t="s">
        <v>66</v>
      </c>
      <c r="I329">
        <v>8</v>
      </c>
      <c r="J329" s="1">
        <v>20</v>
      </c>
      <c r="K329" t="s">
        <v>2072</v>
      </c>
      <c r="M329">
        <v>4.5</v>
      </c>
      <c r="N329">
        <v>1</v>
      </c>
      <c r="O329" t="s">
        <v>2076</v>
      </c>
      <c r="P329">
        <v>0.72</v>
      </c>
      <c r="Q329" s="2">
        <v>0.72</v>
      </c>
      <c r="S329" s="5">
        <v>3.5999999999999997E-2</v>
      </c>
    </row>
    <row r="330" spans="1:19" x14ac:dyDescent="0.3">
      <c r="A330" t="s">
        <v>724</v>
      </c>
      <c r="B330" t="s">
        <v>725</v>
      </c>
      <c r="C330" t="s">
        <v>111</v>
      </c>
      <c r="D330" t="s">
        <v>80</v>
      </c>
      <c r="E330">
        <v>34</v>
      </c>
      <c r="F330" t="s">
        <v>37</v>
      </c>
      <c r="G330" t="s">
        <v>38</v>
      </c>
      <c r="H330" t="s">
        <v>63</v>
      </c>
      <c r="I330">
        <v>12</v>
      </c>
      <c r="J330" s="1">
        <v>20</v>
      </c>
      <c r="K330" t="s">
        <v>2065</v>
      </c>
      <c r="L330" t="s">
        <v>2072</v>
      </c>
      <c r="M330">
        <v>1.6</v>
      </c>
      <c r="N330" t="s">
        <v>19</v>
      </c>
      <c r="O330" t="s">
        <v>2076</v>
      </c>
      <c r="P330">
        <v>0.64</v>
      </c>
      <c r="Q330" s="2">
        <v>0.64</v>
      </c>
      <c r="S330" s="5">
        <v>3.2000000000000001E-2</v>
      </c>
    </row>
    <row r="331" spans="1:19" x14ac:dyDescent="0.3">
      <c r="A331" t="s">
        <v>726</v>
      </c>
      <c r="B331" t="s">
        <v>727</v>
      </c>
      <c r="C331" t="s">
        <v>15</v>
      </c>
      <c r="D331" t="s">
        <v>20</v>
      </c>
      <c r="E331">
        <v>25</v>
      </c>
      <c r="F331" t="s">
        <v>155</v>
      </c>
      <c r="G331" t="s">
        <v>17</v>
      </c>
      <c r="H331" t="s">
        <v>33</v>
      </c>
      <c r="I331">
        <v>0</v>
      </c>
      <c r="J331" s="1">
        <v>40</v>
      </c>
      <c r="K331" t="s">
        <v>2067</v>
      </c>
      <c r="M331">
        <v>0</v>
      </c>
      <c r="N331">
        <v>0</v>
      </c>
      <c r="O331" t="s">
        <v>2077</v>
      </c>
      <c r="P331">
        <v>0.9</v>
      </c>
      <c r="Q331" s="2">
        <v>0.9</v>
      </c>
      <c r="S331" s="5">
        <v>2.2499999999999999E-2</v>
      </c>
    </row>
    <row r="332" spans="1:19" x14ac:dyDescent="0.3">
      <c r="A332" t="s">
        <v>728</v>
      </c>
      <c r="B332" t="s">
        <v>729</v>
      </c>
      <c r="C332" t="s">
        <v>36</v>
      </c>
      <c r="D332" t="s">
        <v>20</v>
      </c>
      <c r="E332">
        <v>40</v>
      </c>
      <c r="F332" t="s">
        <v>58</v>
      </c>
      <c r="G332" t="s">
        <v>59</v>
      </c>
      <c r="H332" t="s">
        <v>33</v>
      </c>
      <c r="I332">
        <v>17</v>
      </c>
      <c r="J332" s="1">
        <v>40</v>
      </c>
      <c r="K332" t="s">
        <v>2067</v>
      </c>
      <c r="M332">
        <v>3.6</v>
      </c>
      <c r="N332" t="s">
        <v>19</v>
      </c>
      <c r="O332" t="s">
        <v>2076</v>
      </c>
      <c r="P332">
        <v>0.77</v>
      </c>
      <c r="Q332" s="2">
        <v>0.77</v>
      </c>
      <c r="S332" s="5">
        <v>1.925E-2</v>
      </c>
    </row>
    <row r="333" spans="1:19" x14ac:dyDescent="0.3">
      <c r="A333" t="s">
        <v>730</v>
      </c>
      <c r="B333" t="s">
        <v>731</v>
      </c>
      <c r="C333" t="s">
        <v>15</v>
      </c>
      <c r="D333" t="s">
        <v>20</v>
      </c>
      <c r="F333" t="s">
        <v>46</v>
      </c>
      <c r="G333" t="s">
        <v>17</v>
      </c>
      <c r="H333" t="s">
        <v>18</v>
      </c>
      <c r="J333" s="1">
        <v>50</v>
      </c>
      <c r="K333" t="s">
        <v>2065</v>
      </c>
      <c r="L333" t="s">
        <v>2071</v>
      </c>
      <c r="M333">
        <v>2.1</v>
      </c>
      <c r="N333">
        <v>1</v>
      </c>
      <c r="O333" t="s">
        <v>2076</v>
      </c>
      <c r="P333">
        <v>0.82</v>
      </c>
      <c r="Q333" s="2">
        <v>0.82</v>
      </c>
      <c r="S333" s="5">
        <v>1.6400000000000001E-2</v>
      </c>
    </row>
    <row r="334" spans="1:19" x14ac:dyDescent="0.3">
      <c r="A334" t="s">
        <v>732</v>
      </c>
      <c r="B334" t="s">
        <v>733</v>
      </c>
      <c r="C334" t="s">
        <v>36</v>
      </c>
      <c r="D334" t="s">
        <v>20</v>
      </c>
      <c r="E334">
        <v>20</v>
      </c>
      <c r="F334" t="s">
        <v>50</v>
      </c>
      <c r="G334" t="s">
        <v>51</v>
      </c>
      <c r="H334" t="s">
        <v>39</v>
      </c>
      <c r="I334">
        <v>2</v>
      </c>
      <c r="J334" s="1">
        <v>30</v>
      </c>
      <c r="K334" t="s">
        <v>2068</v>
      </c>
      <c r="L334" t="s">
        <v>2069</v>
      </c>
      <c r="M334">
        <v>1.7</v>
      </c>
      <c r="N334" t="b">
        <v>1</v>
      </c>
      <c r="O334" t="s">
        <v>2076</v>
      </c>
      <c r="P334">
        <v>0.6</v>
      </c>
      <c r="Q334" s="2">
        <v>0.6</v>
      </c>
      <c r="S334" s="5">
        <v>0.02</v>
      </c>
    </row>
    <row r="335" spans="1:19" x14ac:dyDescent="0.3">
      <c r="A335" t="s">
        <v>734</v>
      </c>
      <c r="B335" t="s">
        <v>735</v>
      </c>
      <c r="C335" t="s">
        <v>36</v>
      </c>
      <c r="D335" t="s">
        <v>20</v>
      </c>
      <c r="E335">
        <v>51</v>
      </c>
      <c r="F335" t="s">
        <v>91</v>
      </c>
      <c r="G335" t="s">
        <v>59</v>
      </c>
      <c r="H335" t="s">
        <v>18</v>
      </c>
      <c r="I335">
        <v>19</v>
      </c>
      <c r="J335" s="1">
        <v>50</v>
      </c>
      <c r="K335" t="s">
        <v>2071</v>
      </c>
      <c r="N335" t="s">
        <v>96</v>
      </c>
      <c r="O335" t="s">
        <v>2076</v>
      </c>
      <c r="P335">
        <v>0.82</v>
      </c>
      <c r="Q335" s="2">
        <v>0.82</v>
      </c>
      <c r="S335" s="5">
        <v>1.6400000000000001E-2</v>
      </c>
    </row>
    <row r="336" spans="1:19" x14ac:dyDescent="0.3">
      <c r="A336" t="s">
        <v>736</v>
      </c>
      <c r="B336" t="s">
        <v>737</v>
      </c>
      <c r="C336" t="s">
        <v>111</v>
      </c>
      <c r="D336" t="s">
        <v>80</v>
      </c>
      <c r="E336">
        <v>49</v>
      </c>
      <c r="F336" t="s">
        <v>155</v>
      </c>
      <c r="G336" t="s">
        <v>17</v>
      </c>
      <c r="H336" t="s">
        <v>39</v>
      </c>
      <c r="I336">
        <v>24</v>
      </c>
      <c r="J336" s="1">
        <v>50</v>
      </c>
      <c r="K336" t="s">
        <v>2065</v>
      </c>
      <c r="L336" t="s">
        <v>2071</v>
      </c>
      <c r="M336">
        <v>0</v>
      </c>
      <c r="N336">
        <v>0</v>
      </c>
      <c r="O336" t="s">
        <v>2077</v>
      </c>
      <c r="P336">
        <v>0.94</v>
      </c>
      <c r="Q336" s="2">
        <v>0.94</v>
      </c>
      <c r="S336" s="5">
        <v>1.8800000000000001E-2</v>
      </c>
    </row>
    <row r="337" spans="1:19" x14ac:dyDescent="0.3">
      <c r="A337" t="s">
        <v>738</v>
      </c>
      <c r="B337" t="s">
        <v>739</v>
      </c>
      <c r="C337" t="s">
        <v>76</v>
      </c>
      <c r="D337" t="s">
        <v>80</v>
      </c>
      <c r="E337">
        <v>60</v>
      </c>
      <c r="F337" t="s">
        <v>158</v>
      </c>
      <c r="G337" t="s">
        <v>159</v>
      </c>
      <c r="H337" t="s">
        <v>63</v>
      </c>
      <c r="I337">
        <v>38</v>
      </c>
      <c r="J337" s="1">
        <v>20</v>
      </c>
      <c r="K337" t="s">
        <v>2065</v>
      </c>
      <c r="L337" t="s">
        <v>2072</v>
      </c>
      <c r="M337">
        <v>2</v>
      </c>
      <c r="N337" t="s">
        <v>67</v>
      </c>
      <c r="O337" t="s">
        <v>2077</v>
      </c>
      <c r="P337">
        <v>0.71</v>
      </c>
      <c r="Q337" s="2">
        <v>0.71</v>
      </c>
      <c r="S337" s="5">
        <v>3.5499999999999997E-2</v>
      </c>
    </row>
    <row r="338" spans="1:19" x14ac:dyDescent="0.3">
      <c r="A338" t="s">
        <v>740</v>
      </c>
      <c r="B338" t="s">
        <v>741</v>
      </c>
      <c r="C338" t="s">
        <v>76</v>
      </c>
      <c r="D338" t="s">
        <v>80</v>
      </c>
      <c r="E338">
        <v>35</v>
      </c>
      <c r="F338" t="s">
        <v>118</v>
      </c>
      <c r="G338" t="s">
        <v>119</v>
      </c>
      <c r="H338" t="s">
        <v>60</v>
      </c>
      <c r="I338">
        <v>7</v>
      </c>
      <c r="M338">
        <v>3.9</v>
      </c>
      <c r="N338">
        <v>0</v>
      </c>
      <c r="O338" t="s">
        <v>2077</v>
      </c>
      <c r="P338">
        <v>0.72</v>
      </c>
      <c r="Q338" s="2">
        <v>0.72</v>
      </c>
    </row>
    <row r="339" spans="1:19" x14ac:dyDescent="0.3">
      <c r="A339" t="s">
        <v>742</v>
      </c>
      <c r="B339" t="s">
        <v>743</v>
      </c>
      <c r="C339" t="s">
        <v>111</v>
      </c>
      <c r="D339" t="s">
        <v>80</v>
      </c>
      <c r="E339">
        <v>33</v>
      </c>
      <c r="F339" t="s">
        <v>31</v>
      </c>
      <c r="G339" t="s">
        <v>32</v>
      </c>
      <c r="H339" t="s">
        <v>47</v>
      </c>
      <c r="I339">
        <v>13</v>
      </c>
      <c r="J339" s="1">
        <v>20</v>
      </c>
      <c r="K339" t="s">
        <v>2072</v>
      </c>
      <c r="M339">
        <v>3.2</v>
      </c>
      <c r="N339" t="b">
        <v>0</v>
      </c>
      <c r="O339" t="s">
        <v>2077</v>
      </c>
    </row>
    <row r="340" spans="1:19" x14ac:dyDescent="0.3">
      <c r="A340" t="s">
        <v>744</v>
      </c>
      <c r="B340" t="s">
        <v>745</v>
      </c>
      <c r="C340" t="s">
        <v>36</v>
      </c>
      <c r="D340" t="s">
        <v>20</v>
      </c>
      <c r="E340">
        <v>57</v>
      </c>
      <c r="F340" t="s">
        <v>254</v>
      </c>
      <c r="G340" t="s">
        <v>255</v>
      </c>
      <c r="H340" t="s">
        <v>39</v>
      </c>
      <c r="I340">
        <v>31</v>
      </c>
      <c r="J340" s="1">
        <v>50</v>
      </c>
      <c r="K340" t="s">
        <v>2071</v>
      </c>
      <c r="M340">
        <v>3</v>
      </c>
      <c r="N340" t="b">
        <v>1</v>
      </c>
      <c r="O340" t="s">
        <v>2076</v>
      </c>
      <c r="P340">
        <v>0.87</v>
      </c>
      <c r="Q340" s="2">
        <v>0.87</v>
      </c>
      <c r="S340" s="5">
        <v>1.7399999999999999E-2</v>
      </c>
    </row>
    <row r="341" spans="1:19" x14ac:dyDescent="0.3">
      <c r="A341" t="s">
        <v>746</v>
      </c>
      <c r="B341" t="s">
        <v>747</v>
      </c>
      <c r="C341" t="s">
        <v>15</v>
      </c>
      <c r="D341" t="s">
        <v>20</v>
      </c>
      <c r="E341">
        <v>59</v>
      </c>
      <c r="F341" t="s">
        <v>58</v>
      </c>
      <c r="G341" t="s">
        <v>59</v>
      </c>
      <c r="H341" t="s">
        <v>66</v>
      </c>
      <c r="I341">
        <v>29</v>
      </c>
      <c r="J341" s="1">
        <v>75</v>
      </c>
      <c r="K341" t="s">
        <v>2068</v>
      </c>
      <c r="L341" t="s">
        <v>2066</v>
      </c>
      <c r="N341">
        <v>0</v>
      </c>
      <c r="O341" t="s">
        <v>2077</v>
      </c>
      <c r="P341">
        <v>0.8</v>
      </c>
      <c r="Q341" s="2">
        <v>0.8</v>
      </c>
      <c r="S341" s="5">
        <v>1.0666666666666699E-2</v>
      </c>
    </row>
    <row r="342" spans="1:19" x14ac:dyDescent="0.3">
      <c r="A342" t="s">
        <v>748</v>
      </c>
      <c r="B342" t="s">
        <v>749</v>
      </c>
      <c r="C342" t="s">
        <v>36</v>
      </c>
      <c r="D342" t="s">
        <v>20</v>
      </c>
      <c r="E342">
        <v>45</v>
      </c>
      <c r="F342" t="s">
        <v>23</v>
      </c>
      <c r="G342" t="s">
        <v>24</v>
      </c>
      <c r="H342" t="s">
        <v>33</v>
      </c>
      <c r="I342">
        <v>19</v>
      </c>
      <c r="J342" s="1">
        <v>40</v>
      </c>
      <c r="K342" t="s">
        <v>2065</v>
      </c>
      <c r="L342" t="s">
        <v>2067</v>
      </c>
      <c r="M342">
        <v>2.2000000000000002</v>
      </c>
      <c r="N342">
        <v>1</v>
      </c>
      <c r="O342" t="s">
        <v>2076</v>
      </c>
      <c r="P342">
        <v>0.78</v>
      </c>
      <c r="Q342" s="2">
        <v>0.78</v>
      </c>
      <c r="S342" s="5">
        <v>1.95E-2</v>
      </c>
    </row>
    <row r="343" spans="1:19" x14ac:dyDescent="0.3">
      <c r="A343" t="s">
        <v>750</v>
      </c>
      <c r="B343" t="s">
        <v>751</v>
      </c>
      <c r="C343" t="s">
        <v>36</v>
      </c>
      <c r="D343" t="s">
        <v>20</v>
      </c>
      <c r="E343">
        <v>47</v>
      </c>
      <c r="F343" t="s">
        <v>139</v>
      </c>
      <c r="G343" t="s">
        <v>59</v>
      </c>
      <c r="H343" t="s">
        <v>63</v>
      </c>
      <c r="I343">
        <v>4</v>
      </c>
      <c r="J343" s="1">
        <v>20</v>
      </c>
      <c r="K343" t="s">
        <v>2068</v>
      </c>
      <c r="L343" t="s">
        <v>2072</v>
      </c>
      <c r="M343">
        <v>4.2</v>
      </c>
      <c r="P343">
        <v>0.82</v>
      </c>
      <c r="Q343" s="2">
        <v>0.82</v>
      </c>
      <c r="S343" s="5">
        <v>4.1000000000000002E-2</v>
      </c>
    </row>
    <row r="344" spans="1:19" x14ac:dyDescent="0.3">
      <c r="A344" t="s">
        <v>752</v>
      </c>
      <c r="B344" t="s">
        <v>753</v>
      </c>
      <c r="C344" t="s">
        <v>36</v>
      </c>
      <c r="D344" t="s">
        <v>20</v>
      </c>
      <c r="E344">
        <v>26</v>
      </c>
      <c r="F344" t="s">
        <v>104</v>
      </c>
      <c r="G344" t="s">
        <v>105</v>
      </c>
      <c r="H344" t="s">
        <v>108</v>
      </c>
      <c r="I344">
        <v>6</v>
      </c>
      <c r="J344" s="1">
        <v>100</v>
      </c>
      <c r="K344" t="s">
        <v>2068</v>
      </c>
      <c r="L344" t="s">
        <v>2070</v>
      </c>
      <c r="N344" t="s">
        <v>67</v>
      </c>
      <c r="O344" t="s">
        <v>2077</v>
      </c>
      <c r="P344">
        <v>0.69</v>
      </c>
      <c r="Q344" s="2">
        <v>0.69</v>
      </c>
      <c r="S344" s="5">
        <v>6.8999999999999999E-3</v>
      </c>
    </row>
    <row r="345" spans="1:19" x14ac:dyDescent="0.3">
      <c r="A345" t="s">
        <v>754</v>
      </c>
      <c r="B345" t="s">
        <v>755</v>
      </c>
      <c r="C345" t="s">
        <v>111</v>
      </c>
      <c r="D345" t="s">
        <v>80</v>
      </c>
      <c r="E345">
        <v>42</v>
      </c>
      <c r="F345" t="s">
        <v>27</v>
      </c>
      <c r="G345" t="s">
        <v>28</v>
      </c>
      <c r="H345" t="s">
        <v>79</v>
      </c>
      <c r="I345">
        <v>13</v>
      </c>
      <c r="J345" s="1">
        <v>30</v>
      </c>
      <c r="K345" t="s">
        <v>2069</v>
      </c>
      <c r="M345">
        <v>3.3</v>
      </c>
      <c r="P345">
        <v>0.63</v>
      </c>
      <c r="Q345" s="2">
        <v>0.63</v>
      </c>
      <c r="S345" s="5">
        <v>2.1000000000000001E-2</v>
      </c>
    </row>
    <row r="346" spans="1:19" x14ac:dyDescent="0.3">
      <c r="A346" t="s">
        <v>756</v>
      </c>
      <c r="B346" t="s">
        <v>757</v>
      </c>
      <c r="C346" t="s">
        <v>76</v>
      </c>
      <c r="D346" t="s">
        <v>80</v>
      </c>
      <c r="E346">
        <v>26</v>
      </c>
      <c r="F346" t="s">
        <v>158</v>
      </c>
      <c r="G346" t="s">
        <v>159</v>
      </c>
      <c r="H346" t="s">
        <v>63</v>
      </c>
      <c r="I346">
        <v>4</v>
      </c>
      <c r="J346" s="1">
        <v>100</v>
      </c>
      <c r="K346" t="s">
        <v>2068</v>
      </c>
      <c r="L346" t="s">
        <v>2070</v>
      </c>
      <c r="M346">
        <v>3.6</v>
      </c>
      <c r="N346" t="s">
        <v>67</v>
      </c>
      <c r="O346" t="s">
        <v>2077</v>
      </c>
      <c r="P346">
        <v>0.81</v>
      </c>
      <c r="Q346" s="2">
        <v>0.81</v>
      </c>
      <c r="S346" s="5">
        <v>8.0999999999999996E-3</v>
      </c>
    </row>
    <row r="347" spans="1:19" x14ac:dyDescent="0.3">
      <c r="A347" t="s">
        <v>758</v>
      </c>
      <c r="B347" t="s">
        <v>759</v>
      </c>
      <c r="C347" t="s">
        <v>76</v>
      </c>
      <c r="D347" t="s">
        <v>80</v>
      </c>
      <c r="E347">
        <v>29</v>
      </c>
      <c r="F347" t="s">
        <v>42</v>
      </c>
      <c r="G347" t="s">
        <v>43</v>
      </c>
      <c r="H347" t="s">
        <v>79</v>
      </c>
      <c r="I347">
        <v>0</v>
      </c>
      <c r="J347" s="1">
        <v>20</v>
      </c>
      <c r="K347" t="s">
        <v>2065</v>
      </c>
      <c r="L347" t="s">
        <v>2072</v>
      </c>
      <c r="N347">
        <v>1</v>
      </c>
      <c r="O347" t="s">
        <v>2076</v>
      </c>
      <c r="P347">
        <v>0.99</v>
      </c>
      <c r="Q347" s="2">
        <v>0.99</v>
      </c>
      <c r="S347" s="5">
        <v>4.9500000000000002E-2</v>
      </c>
    </row>
    <row r="348" spans="1:19" x14ac:dyDescent="0.3">
      <c r="A348" t="s">
        <v>760</v>
      </c>
      <c r="B348" t="s">
        <v>761</v>
      </c>
      <c r="C348" t="s">
        <v>76</v>
      </c>
      <c r="D348" t="s">
        <v>80</v>
      </c>
      <c r="E348">
        <v>28</v>
      </c>
      <c r="F348" t="s">
        <v>83</v>
      </c>
      <c r="G348" t="s">
        <v>84</v>
      </c>
      <c r="H348" t="s">
        <v>66</v>
      </c>
      <c r="I348">
        <v>8</v>
      </c>
      <c r="J348" s="1">
        <v>50</v>
      </c>
      <c r="K348" t="s">
        <v>2068</v>
      </c>
      <c r="L348" t="s">
        <v>2071</v>
      </c>
      <c r="M348">
        <v>2.5</v>
      </c>
      <c r="N348" t="b">
        <v>1</v>
      </c>
      <c r="O348" t="s">
        <v>2076</v>
      </c>
      <c r="P348">
        <v>0.95</v>
      </c>
      <c r="Q348" s="2">
        <v>0.95</v>
      </c>
      <c r="S348" s="5">
        <v>1.9E-2</v>
      </c>
    </row>
    <row r="349" spans="1:19" x14ac:dyDescent="0.3">
      <c r="A349" t="s">
        <v>762</v>
      </c>
      <c r="B349" t="s">
        <v>763</v>
      </c>
      <c r="C349" t="s">
        <v>76</v>
      </c>
      <c r="D349" t="s">
        <v>80</v>
      </c>
      <c r="E349">
        <v>25</v>
      </c>
      <c r="F349" t="s">
        <v>77</v>
      </c>
      <c r="G349" t="s">
        <v>78</v>
      </c>
      <c r="H349" t="s">
        <v>47</v>
      </c>
      <c r="I349">
        <v>3</v>
      </c>
      <c r="J349" s="1">
        <v>50</v>
      </c>
      <c r="K349" t="s">
        <v>2065</v>
      </c>
      <c r="L349" t="s">
        <v>2071</v>
      </c>
      <c r="M349">
        <v>2.8</v>
      </c>
      <c r="N349" t="s">
        <v>19</v>
      </c>
      <c r="O349" t="s">
        <v>2076</v>
      </c>
      <c r="P349">
        <v>86</v>
      </c>
      <c r="Q349" s="2">
        <v>0.86</v>
      </c>
      <c r="R349">
        <v>0.86</v>
      </c>
      <c r="S349" s="5">
        <v>1.72E-2</v>
      </c>
    </row>
    <row r="350" spans="1:19" x14ac:dyDescent="0.3">
      <c r="A350" t="s">
        <v>764</v>
      </c>
      <c r="B350" t="s">
        <v>765</v>
      </c>
      <c r="C350" t="s">
        <v>111</v>
      </c>
      <c r="D350" t="s">
        <v>80</v>
      </c>
      <c r="E350">
        <v>54</v>
      </c>
      <c r="F350" t="s">
        <v>50</v>
      </c>
      <c r="G350" t="s">
        <v>51</v>
      </c>
      <c r="H350" t="s">
        <v>52</v>
      </c>
      <c r="I350">
        <v>19</v>
      </c>
      <c r="J350" s="1">
        <v>30</v>
      </c>
      <c r="K350" t="s">
        <v>2068</v>
      </c>
      <c r="L350" t="s">
        <v>2069</v>
      </c>
      <c r="M350">
        <v>4</v>
      </c>
      <c r="P350">
        <v>0.9</v>
      </c>
      <c r="Q350" s="2">
        <v>0.9</v>
      </c>
      <c r="S350" s="5">
        <v>0.03</v>
      </c>
    </row>
    <row r="351" spans="1:19" x14ac:dyDescent="0.3">
      <c r="A351" t="s">
        <v>766</v>
      </c>
      <c r="B351" t="s">
        <v>767</v>
      </c>
      <c r="C351" t="s">
        <v>76</v>
      </c>
      <c r="D351" t="s">
        <v>80</v>
      </c>
      <c r="E351">
        <v>36</v>
      </c>
      <c r="F351" t="s">
        <v>77</v>
      </c>
      <c r="G351" t="s">
        <v>78</v>
      </c>
      <c r="H351" t="s">
        <v>47</v>
      </c>
      <c r="I351">
        <v>9</v>
      </c>
      <c r="J351" s="1">
        <v>30</v>
      </c>
      <c r="K351" t="s">
        <v>2065</v>
      </c>
      <c r="L351" t="s">
        <v>2069</v>
      </c>
      <c r="M351">
        <v>0</v>
      </c>
      <c r="N351" t="s">
        <v>19</v>
      </c>
      <c r="O351" t="s">
        <v>2076</v>
      </c>
      <c r="P351">
        <v>0.78</v>
      </c>
      <c r="Q351" s="2">
        <v>0.78</v>
      </c>
      <c r="S351" s="5">
        <v>2.5999999999999999E-2</v>
      </c>
    </row>
    <row r="352" spans="1:19" x14ac:dyDescent="0.3">
      <c r="A352" t="s">
        <v>768</v>
      </c>
      <c r="B352" t="s">
        <v>769</v>
      </c>
      <c r="C352" t="s">
        <v>76</v>
      </c>
      <c r="D352" t="s">
        <v>80</v>
      </c>
      <c r="E352">
        <v>51</v>
      </c>
      <c r="F352" t="s">
        <v>42</v>
      </c>
      <c r="G352" t="s">
        <v>43</v>
      </c>
      <c r="H352" t="s">
        <v>39</v>
      </c>
      <c r="I352">
        <v>17</v>
      </c>
      <c r="J352" s="1">
        <v>100</v>
      </c>
      <c r="K352" t="s">
        <v>2070</v>
      </c>
      <c r="M352">
        <v>3</v>
      </c>
      <c r="N352" t="b">
        <v>0</v>
      </c>
      <c r="O352" t="s">
        <v>2077</v>
      </c>
      <c r="P352">
        <v>0.79</v>
      </c>
      <c r="Q352" s="2">
        <v>0.79</v>
      </c>
      <c r="S352" s="5">
        <v>7.9000000000000008E-3</v>
      </c>
    </row>
    <row r="353" spans="1:19" x14ac:dyDescent="0.3">
      <c r="A353" t="s">
        <v>770</v>
      </c>
      <c r="B353" t="s">
        <v>771</v>
      </c>
      <c r="C353" t="s">
        <v>111</v>
      </c>
      <c r="D353" t="s">
        <v>80</v>
      </c>
      <c r="E353">
        <v>42</v>
      </c>
      <c r="F353" t="s">
        <v>155</v>
      </c>
      <c r="G353" t="s">
        <v>17</v>
      </c>
      <c r="H353" t="s">
        <v>39</v>
      </c>
      <c r="J353" s="1">
        <v>50</v>
      </c>
      <c r="K353" t="s">
        <v>2065</v>
      </c>
      <c r="L353" t="s">
        <v>2071</v>
      </c>
      <c r="M353">
        <v>4.2</v>
      </c>
      <c r="P353">
        <v>0.96</v>
      </c>
      <c r="Q353" s="2">
        <v>0.96</v>
      </c>
      <c r="S353" s="5">
        <v>1.9199999999999998E-2</v>
      </c>
    </row>
    <row r="354" spans="1:19" x14ac:dyDescent="0.3">
      <c r="A354" t="s">
        <v>772</v>
      </c>
      <c r="B354" t="s">
        <v>773</v>
      </c>
      <c r="C354" t="s">
        <v>36</v>
      </c>
      <c r="D354" t="s">
        <v>20</v>
      </c>
      <c r="E354">
        <v>24</v>
      </c>
      <c r="F354" t="s">
        <v>37</v>
      </c>
      <c r="G354" t="s">
        <v>38</v>
      </c>
      <c r="H354" t="s">
        <v>79</v>
      </c>
      <c r="I354">
        <v>2</v>
      </c>
      <c r="M354">
        <v>1.6</v>
      </c>
      <c r="N354" t="s">
        <v>67</v>
      </c>
      <c r="O354" t="s">
        <v>2077</v>
      </c>
      <c r="P354">
        <v>1</v>
      </c>
      <c r="Q354" s="2">
        <v>1</v>
      </c>
    </row>
    <row r="355" spans="1:19" x14ac:dyDescent="0.3">
      <c r="A355" t="s">
        <v>774</v>
      </c>
      <c r="B355" t="s">
        <v>775</v>
      </c>
      <c r="C355" t="s">
        <v>76</v>
      </c>
      <c r="D355" t="s">
        <v>80</v>
      </c>
      <c r="E355">
        <v>46</v>
      </c>
      <c r="F355" t="s">
        <v>158</v>
      </c>
      <c r="G355" t="s">
        <v>159</v>
      </c>
      <c r="H355" t="s">
        <v>66</v>
      </c>
      <c r="I355">
        <v>5</v>
      </c>
      <c r="J355" s="1">
        <v>30</v>
      </c>
      <c r="K355" t="s">
        <v>2068</v>
      </c>
      <c r="L355" t="s">
        <v>2069</v>
      </c>
      <c r="M355">
        <v>2</v>
      </c>
      <c r="N355" t="s">
        <v>19</v>
      </c>
      <c r="O355" t="s">
        <v>2076</v>
      </c>
      <c r="P355">
        <v>0.64</v>
      </c>
      <c r="Q355" s="2">
        <v>0.64</v>
      </c>
      <c r="S355" s="5">
        <v>2.1333333333333301E-2</v>
      </c>
    </row>
    <row r="356" spans="1:19" x14ac:dyDescent="0.3">
      <c r="A356" t="s">
        <v>776</v>
      </c>
      <c r="B356" t="s">
        <v>777</v>
      </c>
      <c r="C356" t="s">
        <v>76</v>
      </c>
      <c r="D356" t="s">
        <v>80</v>
      </c>
      <c r="E356">
        <v>55</v>
      </c>
      <c r="F356" t="s">
        <v>158</v>
      </c>
      <c r="G356" t="s">
        <v>159</v>
      </c>
      <c r="H356" t="s">
        <v>47</v>
      </c>
      <c r="I356">
        <v>7</v>
      </c>
      <c r="J356" s="1">
        <v>100</v>
      </c>
      <c r="K356" t="s">
        <v>2070</v>
      </c>
      <c r="M356">
        <v>1.7</v>
      </c>
      <c r="N356">
        <v>1</v>
      </c>
      <c r="O356" t="s">
        <v>2076</v>
      </c>
      <c r="P356">
        <v>0.8</v>
      </c>
      <c r="Q356" s="2">
        <v>0.8</v>
      </c>
      <c r="S356" s="5">
        <v>8.0000000000000002E-3</v>
      </c>
    </row>
    <row r="357" spans="1:19" x14ac:dyDescent="0.3">
      <c r="A357" t="s">
        <v>778</v>
      </c>
      <c r="B357" t="s">
        <v>779</v>
      </c>
      <c r="C357" t="s">
        <v>15</v>
      </c>
      <c r="D357" t="s">
        <v>20</v>
      </c>
      <c r="E357">
        <v>50</v>
      </c>
      <c r="F357" t="s">
        <v>155</v>
      </c>
      <c r="G357" t="s">
        <v>17</v>
      </c>
      <c r="H357" t="s">
        <v>33</v>
      </c>
      <c r="I357">
        <v>6</v>
      </c>
      <c r="J357" s="1">
        <v>30</v>
      </c>
      <c r="K357" t="s">
        <v>2069</v>
      </c>
      <c r="M357">
        <v>2.2000000000000002</v>
      </c>
      <c r="N357">
        <v>1</v>
      </c>
      <c r="O357" t="s">
        <v>2076</v>
      </c>
      <c r="P357">
        <v>0.95</v>
      </c>
      <c r="Q357" s="2">
        <v>0.95</v>
      </c>
      <c r="S357" s="5">
        <v>3.1666666666666697E-2</v>
      </c>
    </row>
    <row r="358" spans="1:19" x14ac:dyDescent="0.3">
      <c r="A358" t="s">
        <v>780</v>
      </c>
      <c r="B358" t="s">
        <v>781</v>
      </c>
      <c r="C358" t="s">
        <v>36</v>
      </c>
      <c r="D358" t="s">
        <v>20</v>
      </c>
      <c r="E358">
        <v>60</v>
      </c>
      <c r="F358" t="s">
        <v>83</v>
      </c>
      <c r="G358" t="s">
        <v>84</v>
      </c>
      <c r="H358" t="s">
        <v>63</v>
      </c>
      <c r="I358">
        <v>0</v>
      </c>
      <c r="J358" s="1">
        <v>40</v>
      </c>
      <c r="K358" t="s">
        <v>2067</v>
      </c>
      <c r="M358">
        <v>4.9000000000000004</v>
      </c>
      <c r="N358" t="s">
        <v>96</v>
      </c>
      <c r="O358" t="s">
        <v>2076</v>
      </c>
      <c r="P358">
        <v>0.68</v>
      </c>
      <c r="Q358" s="2">
        <v>0.68</v>
      </c>
      <c r="S358" s="5">
        <v>1.7000000000000001E-2</v>
      </c>
    </row>
    <row r="359" spans="1:19" x14ac:dyDescent="0.3">
      <c r="A359" t="s">
        <v>782</v>
      </c>
      <c r="B359" t="s">
        <v>783</v>
      </c>
      <c r="C359" t="s">
        <v>15</v>
      </c>
      <c r="D359" t="s">
        <v>20</v>
      </c>
      <c r="E359">
        <v>36</v>
      </c>
      <c r="F359" t="s">
        <v>83</v>
      </c>
      <c r="G359" t="s">
        <v>84</v>
      </c>
      <c r="H359" t="s">
        <v>18</v>
      </c>
      <c r="I359">
        <v>11</v>
      </c>
      <c r="J359" s="1">
        <v>40</v>
      </c>
      <c r="K359" t="s">
        <v>2065</v>
      </c>
      <c r="L359" t="s">
        <v>2067</v>
      </c>
      <c r="M359">
        <v>1.3</v>
      </c>
      <c r="N359" t="b">
        <v>1</v>
      </c>
      <c r="O359" t="s">
        <v>2076</v>
      </c>
    </row>
    <row r="360" spans="1:19" x14ac:dyDescent="0.3">
      <c r="A360" t="s">
        <v>784</v>
      </c>
      <c r="B360" t="s">
        <v>785</v>
      </c>
      <c r="C360" t="s">
        <v>15</v>
      </c>
      <c r="D360" t="s">
        <v>20</v>
      </c>
      <c r="E360">
        <v>21</v>
      </c>
      <c r="F360" t="s">
        <v>188</v>
      </c>
      <c r="G360" t="s">
        <v>189</v>
      </c>
      <c r="H360" t="s">
        <v>108</v>
      </c>
      <c r="I360">
        <v>1</v>
      </c>
      <c r="J360" s="1">
        <v>20</v>
      </c>
      <c r="K360" t="s">
        <v>2065</v>
      </c>
      <c r="L360" t="s">
        <v>2072</v>
      </c>
      <c r="M360">
        <v>2.4</v>
      </c>
      <c r="N360">
        <v>1</v>
      </c>
      <c r="O360" t="s">
        <v>2076</v>
      </c>
      <c r="P360">
        <v>0.66</v>
      </c>
      <c r="Q360" s="2">
        <v>0.66</v>
      </c>
      <c r="S360" s="5">
        <v>3.3000000000000002E-2</v>
      </c>
    </row>
    <row r="361" spans="1:19" x14ac:dyDescent="0.3">
      <c r="A361" t="s">
        <v>786</v>
      </c>
      <c r="B361" t="s">
        <v>787</v>
      </c>
      <c r="C361" t="s">
        <v>15</v>
      </c>
      <c r="D361" t="s">
        <v>20</v>
      </c>
      <c r="E361">
        <v>56</v>
      </c>
      <c r="F361" t="s">
        <v>77</v>
      </c>
      <c r="G361" t="s">
        <v>78</v>
      </c>
      <c r="H361" t="s">
        <v>66</v>
      </c>
      <c r="I361">
        <v>2</v>
      </c>
      <c r="J361" s="1">
        <v>75</v>
      </c>
      <c r="K361" t="s">
        <v>2065</v>
      </c>
      <c r="L361" t="s">
        <v>2066</v>
      </c>
      <c r="M361">
        <v>2.4</v>
      </c>
      <c r="N361" t="s">
        <v>53</v>
      </c>
      <c r="O361" t="s">
        <v>2077</v>
      </c>
    </row>
    <row r="362" spans="1:19" x14ac:dyDescent="0.3">
      <c r="A362" t="s">
        <v>788</v>
      </c>
      <c r="B362" t="s">
        <v>789</v>
      </c>
      <c r="C362" t="s">
        <v>76</v>
      </c>
      <c r="D362" t="s">
        <v>80</v>
      </c>
      <c r="E362">
        <v>21</v>
      </c>
      <c r="F362" t="s">
        <v>77</v>
      </c>
      <c r="G362" t="s">
        <v>78</v>
      </c>
      <c r="H362" t="s">
        <v>63</v>
      </c>
      <c r="I362">
        <v>0</v>
      </c>
      <c r="J362" s="1">
        <v>30</v>
      </c>
      <c r="K362" t="s">
        <v>2068</v>
      </c>
      <c r="L362" t="s">
        <v>2069</v>
      </c>
      <c r="M362">
        <v>4.2</v>
      </c>
      <c r="N362" t="s">
        <v>19</v>
      </c>
      <c r="O362" t="s">
        <v>2076</v>
      </c>
      <c r="P362">
        <v>0.79</v>
      </c>
      <c r="Q362" s="2">
        <v>0.79</v>
      </c>
      <c r="S362" s="5">
        <v>2.6333333333333299E-2</v>
      </c>
    </row>
    <row r="363" spans="1:19" x14ac:dyDescent="0.3">
      <c r="A363" t="s">
        <v>790</v>
      </c>
      <c r="B363" t="s">
        <v>791</v>
      </c>
      <c r="C363" t="s">
        <v>15</v>
      </c>
      <c r="D363" t="s">
        <v>20</v>
      </c>
      <c r="E363">
        <v>24</v>
      </c>
      <c r="F363" t="s">
        <v>23</v>
      </c>
      <c r="G363" t="s">
        <v>24</v>
      </c>
      <c r="H363" t="s">
        <v>60</v>
      </c>
      <c r="I363">
        <v>2</v>
      </c>
      <c r="J363" s="1">
        <v>75</v>
      </c>
      <c r="K363" t="s">
        <v>2066</v>
      </c>
      <c r="M363">
        <v>4.7</v>
      </c>
      <c r="N363" t="s">
        <v>67</v>
      </c>
      <c r="O363" t="s">
        <v>2077</v>
      </c>
      <c r="P363">
        <v>0.68</v>
      </c>
      <c r="Q363" s="2">
        <v>0.68</v>
      </c>
      <c r="S363" s="5">
        <v>9.0666666666666708E-3</v>
      </c>
    </row>
    <row r="364" spans="1:19" x14ac:dyDescent="0.3">
      <c r="A364" t="s">
        <v>792</v>
      </c>
      <c r="B364" t="s">
        <v>793</v>
      </c>
      <c r="C364" t="s">
        <v>76</v>
      </c>
      <c r="D364" t="s">
        <v>80</v>
      </c>
      <c r="E364">
        <v>40</v>
      </c>
      <c r="F364" t="s">
        <v>42</v>
      </c>
      <c r="G364" t="s">
        <v>43</v>
      </c>
      <c r="H364" t="s">
        <v>18</v>
      </c>
      <c r="J364" s="1">
        <v>40</v>
      </c>
      <c r="K364" t="s">
        <v>2067</v>
      </c>
      <c r="M364">
        <v>1.5</v>
      </c>
      <c r="N364" t="b">
        <v>0</v>
      </c>
      <c r="O364" t="s">
        <v>2077</v>
      </c>
      <c r="P364">
        <v>0.96</v>
      </c>
      <c r="Q364" s="2">
        <v>0.96</v>
      </c>
      <c r="S364" s="5">
        <v>2.4E-2</v>
      </c>
    </row>
    <row r="365" spans="1:19" x14ac:dyDescent="0.3">
      <c r="A365" t="s">
        <v>794</v>
      </c>
      <c r="B365" t="s">
        <v>795</v>
      </c>
      <c r="C365" t="s">
        <v>36</v>
      </c>
      <c r="D365" t="s">
        <v>20</v>
      </c>
      <c r="F365" t="s">
        <v>188</v>
      </c>
      <c r="G365" t="s">
        <v>189</v>
      </c>
      <c r="H365" t="s">
        <v>39</v>
      </c>
      <c r="I365">
        <v>10</v>
      </c>
      <c r="J365" s="1">
        <v>20</v>
      </c>
      <c r="K365" t="s">
        <v>2072</v>
      </c>
      <c r="M365">
        <v>1.8</v>
      </c>
      <c r="N365" t="s">
        <v>19</v>
      </c>
      <c r="O365" t="s">
        <v>2076</v>
      </c>
      <c r="P365">
        <v>85</v>
      </c>
      <c r="Q365" s="2">
        <v>0.85</v>
      </c>
      <c r="R365">
        <v>0.85</v>
      </c>
      <c r="S365" s="5">
        <v>4.2500000000000003E-2</v>
      </c>
    </row>
    <row r="366" spans="1:19" x14ac:dyDescent="0.3">
      <c r="A366" t="s">
        <v>796</v>
      </c>
      <c r="B366" t="s">
        <v>797</v>
      </c>
      <c r="C366" t="s">
        <v>15</v>
      </c>
      <c r="D366" t="s">
        <v>20</v>
      </c>
      <c r="E366">
        <v>34</v>
      </c>
      <c r="F366" t="s">
        <v>27</v>
      </c>
      <c r="G366" t="s">
        <v>28</v>
      </c>
      <c r="H366" t="s">
        <v>33</v>
      </c>
      <c r="I366">
        <v>8</v>
      </c>
      <c r="J366" s="1">
        <v>75</v>
      </c>
      <c r="K366" t="s">
        <v>2066</v>
      </c>
      <c r="M366">
        <v>1.8</v>
      </c>
      <c r="N366">
        <v>1</v>
      </c>
      <c r="O366" t="s">
        <v>2076</v>
      </c>
      <c r="P366">
        <v>0.71</v>
      </c>
      <c r="Q366" s="2">
        <v>0.71</v>
      </c>
      <c r="S366" s="5">
        <v>9.4666666666666701E-3</v>
      </c>
    </row>
    <row r="367" spans="1:19" x14ac:dyDescent="0.3">
      <c r="A367" t="s">
        <v>798</v>
      </c>
      <c r="B367" t="s">
        <v>799</v>
      </c>
      <c r="C367" t="s">
        <v>15</v>
      </c>
      <c r="D367" t="s">
        <v>20</v>
      </c>
      <c r="E367">
        <v>47</v>
      </c>
      <c r="F367" t="s">
        <v>87</v>
      </c>
      <c r="G367" t="s">
        <v>88</v>
      </c>
      <c r="H367" t="s">
        <v>108</v>
      </c>
      <c r="I367">
        <v>2</v>
      </c>
      <c r="J367" s="1">
        <v>50</v>
      </c>
      <c r="K367" t="s">
        <v>2071</v>
      </c>
      <c r="M367">
        <v>2.7</v>
      </c>
      <c r="N367" t="s">
        <v>67</v>
      </c>
      <c r="O367" t="s">
        <v>2077</v>
      </c>
      <c r="P367">
        <v>96</v>
      </c>
      <c r="Q367" s="2">
        <v>0.96</v>
      </c>
      <c r="R367">
        <v>0.96</v>
      </c>
      <c r="S367" s="5">
        <v>1.9199999999999998E-2</v>
      </c>
    </row>
    <row r="368" spans="1:19" x14ac:dyDescent="0.3">
      <c r="A368" t="s">
        <v>800</v>
      </c>
      <c r="B368" t="s">
        <v>801</v>
      </c>
      <c r="C368" t="s">
        <v>15</v>
      </c>
      <c r="D368" t="s">
        <v>20</v>
      </c>
      <c r="E368">
        <v>48</v>
      </c>
      <c r="F368" t="s">
        <v>254</v>
      </c>
      <c r="G368" t="s">
        <v>255</v>
      </c>
      <c r="H368" t="s">
        <v>39</v>
      </c>
      <c r="I368">
        <v>23</v>
      </c>
      <c r="M368">
        <v>2.1</v>
      </c>
      <c r="N368">
        <v>0</v>
      </c>
      <c r="O368" t="s">
        <v>2077</v>
      </c>
      <c r="P368">
        <v>0.68</v>
      </c>
      <c r="Q368" s="2">
        <v>0.68</v>
      </c>
    </row>
    <row r="369" spans="1:19" x14ac:dyDescent="0.3">
      <c r="A369" t="s">
        <v>802</v>
      </c>
      <c r="B369" t="s">
        <v>803</v>
      </c>
      <c r="C369" t="s">
        <v>36</v>
      </c>
      <c r="D369" t="s">
        <v>20</v>
      </c>
      <c r="E369">
        <v>57</v>
      </c>
      <c r="F369" t="s">
        <v>42</v>
      </c>
      <c r="G369" t="s">
        <v>43</v>
      </c>
      <c r="H369" t="s">
        <v>60</v>
      </c>
      <c r="I369">
        <v>8</v>
      </c>
      <c r="J369" s="1">
        <v>20</v>
      </c>
      <c r="K369" t="s">
        <v>2065</v>
      </c>
      <c r="L369" t="s">
        <v>2072</v>
      </c>
      <c r="M369">
        <v>0</v>
      </c>
      <c r="N369" t="s">
        <v>19</v>
      </c>
      <c r="O369" t="s">
        <v>2076</v>
      </c>
      <c r="P369">
        <v>0.84</v>
      </c>
      <c r="Q369" s="2">
        <v>0.84</v>
      </c>
      <c r="S369" s="5">
        <v>4.2000000000000003E-2</v>
      </c>
    </row>
    <row r="370" spans="1:19" x14ac:dyDescent="0.3">
      <c r="A370" t="s">
        <v>804</v>
      </c>
      <c r="B370" t="s">
        <v>805</v>
      </c>
      <c r="C370" t="s">
        <v>36</v>
      </c>
      <c r="D370" t="s">
        <v>20</v>
      </c>
      <c r="E370">
        <v>55</v>
      </c>
      <c r="F370" t="s">
        <v>101</v>
      </c>
      <c r="G370" t="s">
        <v>59</v>
      </c>
      <c r="H370" t="s">
        <v>33</v>
      </c>
      <c r="I370">
        <v>7</v>
      </c>
      <c r="J370" s="1">
        <v>100</v>
      </c>
      <c r="K370" t="s">
        <v>2068</v>
      </c>
      <c r="L370" t="s">
        <v>2070</v>
      </c>
      <c r="M370">
        <v>2.1</v>
      </c>
      <c r="N370">
        <v>0</v>
      </c>
      <c r="O370" t="s">
        <v>2077</v>
      </c>
      <c r="P370">
        <v>0.66</v>
      </c>
      <c r="Q370" s="2">
        <v>0.66</v>
      </c>
      <c r="S370" s="5">
        <v>6.6E-3</v>
      </c>
    </row>
    <row r="371" spans="1:19" x14ac:dyDescent="0.3">
      <c r="A371" t="s">
        <v>806</v>
      </c>
      <c r="B371" t="s">
        <v>807</v>
      </c>
      <c r="C371" t="s">
        <v>76</v>
      </c>
      <c r="D371" t="s">
        <v>80</v>
      </c>
      <c r="E371">
        <v>37</v>
      </c>
      <c r="F371" t="s">
        <v>91</v>
      </c>
      <c r="G371" t="s">
        <v>59</v>
      </c>
      <c r="H371" t="s">
        <v>33</v>
      </c>
      <c r="I371">
        <v>6</v>
      </c>
      <c r="J371" s="1">
        <v>20</v>
      </c>
      <c r="K371" t="s">
        <v>2065</v>
      </c>
      <c r="L371" t="s">
        <v>2072</v>
      </c>
      <c r="M371">
        <v>2.7</v>
      </c>
      <c r="N371" t="b">
        <v>1</v>
      </c>
      <c r="O371" t="s">
        <v>2076</v>
      </c>
      <c r="P371">
        <v>0.91</v>
      </c>
      <c r="Q371" s="2">
        <v>0.91</v>
      </c>
      <c r="S371" s="5">
        <v>4.5499999999999999E-2</v>
      </c>
    </row>
    <row r="372" spans="1:19" x14ac:dyDescent="0.3">
      <c r="A372" t="s">
        <v>808</v>
      </c>
      <c r="B372" t="s">
        <v>809</v>
      </c>
      <c r="C372" t="s">
        <v>76</v>
      </c>
      <c r="D372" t="s">
        <v>80</v>
      </c>
      <c r="E372">
        <v>29</v>
      </c>
      <c r="F372" t="s">
        <v>188</v>
      </c>
      <c r="G372" t="s">
        <v>189</v>
      </c>
      <c r="H372" t="s">
        <v>52</v>
      </c>
      <c r="I372">
        <v>8</v>
      </c>
      <c r="J372" s="1">
        <v>50</v>
      </c>
      <c r="K372" t="s">
        <v>2071</v>
      </c>
      <c r="M372">
        <v>0</v>
      </c>
      <c r="N372">
        <v>0</v>
      </c>
      <c r="O372" t="s">
        <v>2077</v>
      </c>
      <c r="P372">
        <v>0.77</v>
      </c>
      <c r="Q372" s="2">
        <v>0.77</v>
      </c>
      <c r="S372" s="5">
        <v>1.54E-2</v>
      </c>
    </row>
    <row r="373" spans="1:19" x14ac:dyDescent="0.3">
      <c r="A373" t="s">
        <v>810</v>
      </c>
      <c r="B373" t="s">
        <v>811</v>
      </c>
      <c r="C373" t="s">
        <v>111</v>
      </c>
      <c r="D373" t="s">
        <v>80</v>
      </c>
      <c r="E373">
        <v>35</v>
      </c>
      <c r="F373" t="s">
        <v>188</v>
      </c>
      <c r="G373" t="s">
        <v>189</v>
      </c>
      <c r="H373" t="s">
        <v>63</v>
      </c>
      <c r="I373">
        <v>10</v>
      </c>
      <c r="J373" s="1">
        <v>100</v>
      </c>
      <c r="K373" t="s">
        <v>2068</v>
      </c>
      <c r="L373" t="s">
        <v>2070</v>
      </c>
      <c r="M373">
        <v>4.7</v>
      </c>
      <c r="N373" t="b">
        <v>1</v>
      </c>
      <c r="O373" t="s">
        <v>2076</v>
      </c>
      <c r="P373">
        <v>0.84</v>
      </c>
      <c r="Q373" s="2">
        <v>0.84</v>
      </c>
      <c r="S373" s="5">
        <v>8.3999999999999995E-3</v>
      </c>
    </row>
    <row r="374" spans="1:19" x14ac:dyDescent="0.3">
      <c r="A374" t="s">
        <v>812</v>
      </c>
      <c r="B374" t="s">
        <v>813</v>
      </c>
      <c r="C374" t="s">
        <v>111</v>
      </c>
      <c r="D374" t="s">
        <v>80</v>
      </c>
      <c r="E374">
        <v>58</v>
      </c>
      <c r="F374" t="s">
        <v>158</v>
      </c>
      <c r="G374" t="s">
        <v>159</v>
      </c>
      <c r="H374" t="s">
        <v>47</v>
      </c>
      <c r="I374">
        <v>9</v>
      </c>
      <c r="J374" s="1">
        <v>30</v>
      </c>
      <c r="K374" t="s">
        <v>2069</v>
      </c>
      <c r="M374">
        <v>0</v>
      </c>
      <c r="N374">
        <v>1</v>
      </c>
      <c r="O374" t="s">
        <v>2076</v>
      </c>
      <c r="P374">
        <v>0.65</v>
      </c>
      <c r="Q374" s="2">
        <v>0.65</v>
      </c>
      <c r="S374" s="5">
        <v>2.1666666666666699E-2</v>
      </c>
    </row>
    <row r="375" spans="1:19" x14ac:dyDescent="0.3">
      <c r="A375" t="s">
        <v>814</v>
      </c>
      <c r="B375" t="s">
        <v>815</v>
      </c>
      <c r="C375" t="s">
        <v>36</v>
      </c>
      <c r="D375" t="s">
        <v>20</v>
      </c>
      <c r="E375">
        <v>43</v>
      </c>
      <c r="F375" t="s">
        <v>104</v>
      </c>
      <c r="G375" t="s">
        <v>105</v>
      </c>
      <c r="H375" t="s">
        <v>39</v>
      </c>
      <c r="I375">
        <v>12</v>
      </c>
      <c r="M375">
        <v>1.6</v>
      </c>
      <c r="N375">
        <v>1</v>
      </c>
      <c r="O375" t="s">
        <v>2076</v>
      </c>
      <c r="P375">
        <v>0.74</v>
      </c>
      <c r="Q375" s="2">
        <v>0.74</v>
      </c>
    </row>
    <row r="376" spans="1:19" x14ac:dyDescent="0.3">
      <c r="A376" t="s">
        <v>816</v>
      </c>
      <c r="B376" t="s">
        <v>817</v>
      </c>
      <c r="C376" t="s">
        <v>15</v>
      </c>
      <c r="D376" t="s">
        <v>20</v>
      </c>
      <c r="E376">
        <v>41</v>
      </c>
      <c r="F376" t="s">
        <v>188</v>
      </c>
      <c r="G376" t="s">
        <v>189</v>
      </c>
      <c r="H376" t="s">
        <v>39</v>
      </c>
      <c r="I376">
        <v>9</v>
      </c>
      <c r="J376" s="1">
        <v>75</v>
      </c>
      <c r="K376" t="s">
        <v>2065</v>
      </c>
      <c r="L376" t="s">
        <v>2066</v>
      </c>
      <c r="M376">
        <v>4.9000000000000004</v>
      </c>
      <c r="N376">
        <v>1</v>
      </c>
      <c r="O376" t="s">
        <v>2076</v>
      </c>
      <c r="P376">
        <v>0.74</v>
      </c>
      <c r="Q376" s="2">
        <v>0.74</v>
      </c>
      <c r="S376" s="5">
        <v>9.8666666666666607E-3</v>
      </c>
    </row>
    <row r="377" spans="1:19" x14ac:dyDescent="0.3">
      <c r="A377" t="s">
        <v>818</v>
      </c>
      <c r="B377" t="s">
        <v>819</v>
      </c>
      <c r="C377" t="s">
        <v>36</v>
      </c>
      <c r="D377" t="s">
        <v>20</v>
      </c>
      <c r="E377">
        <v>23</v>
      </c>
      <c r="F377" t="s">
        <v>16</v>
      </c>
      <c r="G377" t="s">
        <v>17</v>
      </c>
      <c r="H377" t="s">
        <v>66</v>
      </c>
      <c r="I377">
        <v>3</v>
      </c>
      <c r="J377" s="1">
        <v>30</v>
      </c>
      <c r="K377" t="s">
        <v>2068</v>
      </c>
      <c r="L377" t="s">
        <v>2069</v>
      </c>
      <c r="M377">
        <v>1.6</v>
      </c>
      <c r="N377" t="s">
        <v>96</v>
      </c>
      <c r="O377" t="s">
        <v>2076</v>
      </c>
      <c r="P377">
        <v>0.72</v>
      </c>
      <c r="Q377" s="2">
        <v>0.72</v>
      </c>
      <c r="S377" s="5">
        <v>2.4E-2</v>
      </c>
    </row>
    <row r="378" spans="1:19" x14ac:dyDescent="0.3">
      <c r="A378" t="s">
        <v>820</v>
      </c>
      <c r="B378" t="s">
        <v>821</v>
      </c>
      <c r="C378" t="s">
        <v>15</v>
      </c>
      <c r="D378" t="s">
        <v>20</v>
      </c>
      <c r="E378">
        <v>44</v>
      </c>
      <c r="F378" t="s">
        <v>58</v>
      </c>
      <c r="G378" t="s">
        <v>59</v>
      </c>
      <c r="H378" t="s">
        <v>18</v>
      </c>
      <c r="I378">
        <v>13</v>
      </c>
      <c r="J378" s="1">
        <v>100</v>
      </c>
      <c r="K378" t="s">
        <v>2070</v>
      </c>
      <c r="M378">
        <v>3.1</v>
      </c>
      <c r="N378" t="s">
        <v>96</v>
      </c>
      <c r="O378" t="s">
        <v>2076</v>
      </c>
      <c r="P378">
        <v>95</v>
      </c>
      <c r="Q378" s="2">
        <v>0.95</v>
      </c>
      <c r="R378">
        <v>0.95</v>
      </c>
      <c r="S378" s="5">
        <v>9.4999999999999998E-3</v>
      </c>
    </row>
    <row r="379" spans="1:19" x14ac:dyDescent="0.3">
      <c r="A379" t="s">
        <v>822</v>
      </c>
      <c r="B379" t="s">
        <v>823</v>
      </c>
      <c r="C379" t="s">
        <v>15</v>
      </c>
      <c r="D379" t="s">
        <v>20</v>
      </c>
      <c r="F379" t="s">
        <v>31</v>
      </c>
      <c r="G379" t="s">
        <v>32</v>
      </c>
      <c r="H379" t="s">
        <v>108</v>
      </c>
      <c r="I379">
        <v>9</v>
      </c>
      <c r="J379" s="1">
        <v>50</v>
      </c>
      <c r="K379" t="s">
        <v>2071</v>
      </c>
      <c r="M379">
        <v>1.8</v>
      </c>
      <c r="N379" t="b">
        <v>0</v>
      </c>
      <c r="O379" t="s">
        <v>2077</v>
      </c>
      <c r="P379">
        <v>0.65</v>
      </c>
      <c r="Q379" s="2">
        <v>0.65</v>
      </c>
      <c r="S379" s="5">
        <v>1.2999999999999999E-2</v>
      </c>
    </row>
    <row r="380" spans="1:19" x14ac:dyDescent="0.3">
      <c r="A380" t="s">
        <v>824</v>
      </c>
      <c r="B380" t="s">
        <v>825</v>
      </c>
      <c r="C380" t="s">
        <v>15</v>
      </c>
      <c r="D380" t="s">
        <v>20</v>
      </c>
      <c r="E380">
        <v>40</v>
      </c>
      <c r="F380" t="s">
        <v>16</v>
      </c>
      <c r="G380" t="s">
        <v>17</v>
      </c>
      <c r="H380" t="s">
        <v>39</v>
      </c>
      <c r="I380">
        <v>7</v>
      </c>
      <c r="J380" s="1">
        <v>40</v>
      </c>
      <c r="K380" t="s">
        <v>2067</v>
      </c>
      <c r="M380">
        <v>4.5</v>
      </c>
      <c r="P380">
        <v>79</v>
      </c>
      <c r="Q380" s="2">
        <v>0.79</v>
      </c>
      <c r="R380">
        <v>0.79</v>
      </c>
      <c r="S380" s="5">
        <v>1.975E-2</v>
      </c>
    </row>
    <row r="381" spans="1:19" x14ac:dyDescent="0.3">
      <c r="A381" t="s">
        <v>826</v>
      </c>
      <c r="B381" t="s">
        <v>827</v>
      </c>
      <c r="C381" t="s">
        <v>36</v>
      </c>
      <c r="D381" t="s">
        <v>20</v>
      </c>
      <c r="E381">
        <v>28</v>
      </c>
      <c r="F381" t="s">
        <v>58</v>
      </c>
      <c r="G381" t="s">
        <v>59</v>
      </c>
      <c r="H381" t="s">
        <v>52</v>
      </c>
      <c r="I381">
        <v>2</v>
      </c>
      <c r="J381" s="1">
        <v>100</v>
      </c>
      <c r="K381" t="s">
        <v>2065</v>
      </c>
      <c r="L381" t="s">
        <v>2070</v>
      </c>
      <c r="M381">
        <v>4.4000000000000004</v>
      </c>
      <c r="N381" t="b">
        <v>1</v>
      </c>
      <c r="O381" t="s">
        <v>2076</v>
      </c>
    </row>
    <row r="382" spans="1:19" x14ac:dyDescent="0.3">
      <c r="A382" t="s">
        <v>828</v>
      </c>
      <c r="B382" t="s">
        <v>829</v>
      </c>
      <c r="C382" t="s">
        <v>15</v>
      </c>
      <c r="D382" t="s">
        <v>20</v>
      </c>
      <c r="E382">
        <v>60</v>
      </c>
      <c r="F382" t="s">
        <v>77</v>
      </c>
      <c r="G382" t="s">
        <v>78</v>
      </c>
      <c r="H382" t="s">
        <v>39</v>
      </c>
      <c r="I382">
        <v>13</v>
      </c>
      <c r="J382" s="1">
        <v>20</v>
      </c>
      <c r="K382" t="s">
        <v>2065</v>
      </c>
      <c r="L382" t="s">
        <v>2072</v>
      </c>
      <c r="M382">
        <v>3.6</v>
      </c>
      <c r="N382">
        <v>0</v>
      </c>
      <c r="O382" t="s">
        <v>2077</v>
      </c>
      <c r="P382">
        <v>0.8</v>
      </c>
      <c r="Q382" s="2">
        <v>0.8</v>
      </c>
      <c r="S382" s="5">
        <v>0.04</v>
      </c>
    </row>
    <row r="383" spans="1:19" x14ac:dyDescent="0.3">
      <c r="A383" t="s">
        <v>830</v>
      </c>
      <c r="B383" t="s">
        <v>831</v>
      </c>
      <c r="C383" t="s">
        <v>15</v>
      </c>
      <c r="D383" t="s">
        <v>20</v>
      </c>
      <c r="E383">
        <v>47</v>
      </c>
      <c r="F383" t="s">
        <v>37</v>
      </c>
      <c r="G383" t="s">
        <v>38</v>
      </c>
      <c r="H383" t="s">
        <v>66</v>
      </c>
      <c r="I383">
        <v>1</v>
      </c>
      <c r="J383" s="1">
        <v>50</v>
      </c>
      <c r="K383" t="s">
        <v>2071</v>
      </c>
      <c r="M383">
        <v>3.9</v>
      </c>
      <c r="N383" t="s">
        <v>96</v>
      </c>
      <c r="O383" t="s">
        <v>2076</v>
      </c>
      <c r="P383">
        <v>0.88</v>
      </c>
      <c r="Q383" s="2">
        <v>0.88</v>
      </c>
      <c r="S383" s="5">
        <v>1.7600000000000001E-2</v>
      </c>
    </row>
    <row r="384" spans="1:19" x14ac:dyDescent="0.3">
      <c r="A384" t="s">
        <v>832</v>
      </c>
      <c r="B384" t="s">
        <v>833</v>
      </c>
      <c r="C384" t="s">
        <v>15</v>
      </c>
      <c r="D384" t="s">
        <v>20</v>
      </c>
      <c r="E384">
        <v>51</v>
      </c>
      <c r="F384" t="s">
        <v>87</v>
      </c>
      <c r="G384" t="s">
        <v>88</v>
      </c>
      <c r="H384" t="s">
        <v>39</v>
      </c>
      <c r="I384">
        <v>32</v>
      </c>
      <c r="J384" s="1">
        <v>100</v>
      </c>
      <c r="K384" t="s">
        <v>2070</v>
      </c>
      <c r="M384">
        <v>4.4000000000000004</v>
      </c>
      <c r="N384" t="b">
        <v>0</v>
      </c>
      <c r="O384" t="s">
        <v>2077</v>
      </c>
      <c r="P384">
        <v>91</v>
      </c>
      <c r="Q384" s="2">
        <v>0.91</v>
      </c>
      <c r="R384">
        <v>0.91</v>
      </c>
      <c r="S384" s="5">
        <v>9.1000000000000004E-3</v>
      </c>
    </row>
    <row r="385" spans="1:19" x14ac:dyDescent="0.3">
      <c r="A385" t="s">
        <v>834</v>
      </c>
      <c r="B385" t="s">
        <v>835</v>
      </c>
      <c r="C385" t="s">
        <v>15</v>
      </c>
      <c r="D385" t="s">
        <v>20</v>
      </c>
      <c r="E385">
        <v>39</v>
      </c>
      <c r="F385" t="s">
        <v>16</v>
      </c>
      <c r="G385" t="s">
        <v>17</v>
      </c>
      <c r="H385" t="s">
        <v>18</v>
      </c>
      <c r="I385">
        <v>18</v>
      </c>
      <c r="J385" s="1">
        <v>75</v>
      </c>
      <c r="K385" t="s">
        <v>2066</v>
      </c>
      <c r="M385">
        <v>4</v>
      </c>
      <c r="N385">
        <v>1</v>
      </c>
      <c r="O385" t="s">
        <v>2076</v>
      </c>
      <c r="P385">
        <v>0.66</v>
      </c>
      <c r="Q385" s="2">
        <v>0.66</v>
      </c>
      <c r="S385" s="5">
        <v>8.8000000000000005E-3</v>
      </c>
    </row>
    <row r="386" spans="1:19" x14ac:dyDescent="0.3">
      <c r="A386" t="s">
        <v>836</v>
      </c>
      <c r="B386" t="s">
        <v>837</v>
      </c>
      <c r="C386" t="s">
        <v>15</v>
      </c>
      <c r="D386" t="s">
        <v>20</v>
      </c>
      <c r="E386">
        <v>29</v>
      </c>
      <c r="F386" t="s">
        <v>139</v>
      </c>
      <c r="G386" t="s">
        <v>59</v>
      </c>
      <c r="H386" t="s">
        <v>79</v>
      </c>
      <c r="J386" s="1">
        <v>75</v>
      </c>
      <c r="K386" t="s">
        <v>2065</v>
      </c>
      <c r="L386" t="s">
        <v>2066</v>
      </c>
      <c r="M386">
        <v>2</v>
      </c>
      <c r="N386">
        <v>0</v>
      </c>
      <c r="O386" t="s">
        <v>2077</v>
      </c>
    </row>
    <row r="387" spans="1:19" x14ac:dyDescent="0.3">
      <c r="A387" t="s">
        <v>838</v>
      </c>
      <c r="B387" t="s">
        <v>839</v>
      </c>
      <c r="C387" t="s">
        <v>15</v>
      </c>
      <c r="D387" t="s">
        <v>20</v>
      </c>
      <c r="E387">
        <v>41</v>
      </c>
      <c r="F387" t="s">
        <v>42</v>
      </c>
      <c r="G387" t="s">
        <v>43</v>
      </c>
      <c r="H387" t="s">
        <v>47</v>
      </c>
      <c r="I387">
        <v>4</v>
      </c>
      <c r="J387" s="1">
        <v>75</v>
      </c>
      <c r="K387" t="s">
        <v>2066</v>
      </c>
      <c r="M387">
        <v>2.6</v>
      </c>
      <c r="P387">
        <v>0.85</v>
      </c>
      <c r="Q387" s="2">
        <v>0.85</v>
      </c>
      <c r="S387" s="5">
        <v>1.1333333333333299E-2</v>
      </c>
    </row>
    <row r="388" spans="1:19" x14ac:dyDescent="0.3">
      <c r="A388" t="s">
        <v>840</v>
      </c>
      <c r="B388" t="s">
        <v>841</v>
      </c>
      <c r="C388" t="s">
        <v>36</v>
      </c>
      <c r="D388" t="s">
        <v>20</v>
      </c>
      <c r="E388">
        <v>31</v>
      </c>
      <c r="F388" t="s">
        <v>31</v>
      </c>
      <c r="G388" t="s">
        <v>32</v>
      </c>
      <c r="H388" t="s">
        <v>60</v>
      </c>
      <c r="I388">
        <v>11</v>
      </c>
      <c r="J388" s="1">
        <v>50</v>
      </c>
      <c r="K388" t="s">
        <v>2065</v>
      </c>
      <c r="L388" t="s">
        <v>2071</v>
      </c>
      <c r="M388">
        <v>4.3</v>
      </c>
      <c r="N388">
        <v>0</v>
      </c>
      <c r="O388" t="s">
        <v>2077</v>
      </c>
      <c r="P388">
        <v>62</v>
      </c>
      <c r="Q388" s="2">
        <v>0.62</v>
      </c>
      <c r="R388">
        <v>0.62</v>
      </c>
      <c r="S388" s="5">
        <v>1.24E-2</v>
      </c>
    </row>
    <row r="389" spans="1:19" x14ac:dyDescent="0.3">
      <c r="A389" t="s">
        <v>842</v>
      </c>
      <c r="B389" t="s">
        <v>843</v>
      </c>
      <c r="C389" t="s">
        <v>36</v>
      </c>
      <c r="D389" t="s">
        <v>20</v>
      </c>
      <c r="E389">
        <v>21</v>
      </c>
      <c r="F389" t="s">
        <v>155</v>
      </c>
      <c r="G389" t="s">
        <v>17</v>
      </c>
      <c r="H389" t="s">
        <v>18</v>
      </c>
      <c r="J389" s="1">
        <v>40</v>
      </c>
      <c r="K389" t="s">
        <v>2067</v>
      </c>
      <c r="M389">
        <v>4</v>
      </c>
      <c r="N389">
        <v>0</v>
      </c>
      <c r="O389" t="s">
        <v>2077</v>
      </c>
      <c r="P389">
        <v>0.91</v>
      </c>
      <c r="Q389" s="2">
        <v>0.91</v>
      </c>
      <c r="S389" s="5">
        <v>2.2749999999999999E-2</v>
      </c>
    </row>
    <row r="390" spans="1:19" x14ac:dyDescent="0.3">
      <c r="A390" t="s">
        <v>844</v>
      </c>
      <c r="B390" t="s">
        <v>845</v>
      </c>
      <c r="C390" t="s">
        <v>111</v>
      </c>
      <c r="D390" t="s">
        <v>80</v>
      </c>
      <c r="E390">
        <v>42</v>
      </c>
      <c r="F390" t="s">
        <v>77</v>
      </c>
      <c r="G390" t="s">
        <v>78</v>
      </c>
      <c r="H390" t="s">
        <v>52</v>
      </c>
      <c r="I390">
        <v>6</v>
      </c>
      <c r="J390" s="1">
        <v>40</v>
      </c>
      <c r="K390" t="s">
        <v>2067</v>
      </c>
      <c r="N390">
        <v>0</v>
      </c>
      <c r="O390" t="s">
        <v>2077</v>
      </c>
      <c r="P390">
        <v>0.63</v>
      </c>
      <c r="Q390" s="2">
        <v>0.63</v>
      </c>
      <c r="S390" s="5">
        <v>1.575E-2</v>
      </c>
    </row>
    <row r="391" spans="1:19" x14ac:dyDescent="0.3">
      <c r="A391" t="s">
        <v>846</v>
      </c>
      <c r="B391" t="s">
        <v>847</v>
      </c>
      <c r="C391" t="s">
        <v>76</v>
      </c>
      <c r="D391" t="s">
        <v>80</v>
      </c>
      <c r="E391">
        <v>32</v>
      </c>
      <c r="F391" t="s">
        <v>139</v>
      </c>
      <c r="G391" t="s">
        <v>59</v>
      </c>
      <c r="H391" t="s">
        <v>47</v>
      </c>
      <c r="I391">
        <v>6</v>
      </c>
      <c r="J391" s="1">
        <v>50</v>
      </c>
      <c r="K391" t="s">
        <v>2068</v>
      </c>
      <c r="L391" t="s">
        <v>2071</v>
      </c>
      <c r="M391">
        <v>3.4</v>
      </c>
      <c r="N391">
        <v>1</v>
      </c>
      <c r="O391" t="s">
        <v>2076</v>
      </c>
    </row>
    <row r="392" spans="1:19" x14ac:dyDescent="0.3">
      <c r="A392" t="s">
        <v>848</v>
      </c>
      <c r="B392" t="s">
        <v>849</v>
      </c>
      <c r="C392" t="s">
        <v>111</v>
      </c>
      <c r="D392" t="s">
        <v>80</v>
      </c>
      <c r="E392">
        <v>57</v>
      </c>
      <c r="F392" t="s">
        <v>188</v>
      </c>
      <c r="G392" t="s">
        <v>189</v>
      </c>
      <c r="H392" t="s">
        <v>60</v>
      </c>
      <c r="I392">
        <v>33</v>
      </c>
      <c r="J392" s="1">
        <v>100</v>
      </c>
      <c r="K392" t="s">
        <v>2070</v>
      </c>
      <c r="M392">
        <v>3.5</v>
      </c>
      <c r="N392" t="s">
        <v>67</v>
      </c>
      <c r="O392" t="s">
        <v>2077</v>
      </c>
      <c r="P392">
        <v>0.74</v>
      </c>
      <c r="Q392" s="2">
        <v>0.74</v>
      </c>
      <c r="S392" s="5">
        <v>7.4000000000000003E-3</v>
      </c>
    </row>
    <row r="393" spans="1:19" x14ac:dyDescent="0.3">
      <c r="A393" t="s">
        <v>850</v>
      </c>
      <c r="B393" t="s">
        <v>851</v>
      </c>
      <c r="C393" t="s">
        <v>76</v>
      </c>
      <c r="D393" t="s">
        <v>80</v>
      </c>
      <c r="E393">
        <v>28</v>
      </c>
      <c r="F393" t="s">
        <v>83</v>
      </c>
      <c r="G393" t="s">
        <v>84</v>
      </c>
      <c r="H393" t="s">
        <v>39</v>
      </c>
      <c r="I393">
        <v>1</v>
      </c>
      <c r="M393">
        <v>0</v>
      </c>
      <c r="N393">
        <v>0</v>
      </c>
      <c r="O393" t="s">
        <v>2077</v>
      </c>
      <c r="P393">
        <v>0.7</v>
      </c>
      <c r="Q393" s="2">
        <v>0.7</v>
      </c>
    </row>
    <row r="394" spans="1:19" x14ac:dyDescent="0.3">
      <c r="A394" t="s">
        <v>852</v>
      </c>
      <c r="B394" t="s">
        <v>853</v>
      </c>
      <c r="C394" t="s">
        <v>111</v>
      </c>
      <c r="D394" t="s">
        <v>80</v>
      </c>
      <c r="E394">
        <v>21</v>
      </c>
      <c r="F394" t="s">
        <v>27</v>
      </c>
      <c r="G394" t="s">
        <v>28</v>
      </c>
      <c r="H394" t="s">
        <v>66</v>
      </c>
      <c r="I394">
        <v>0</v>
      </c>
      <c r="J394" s="1">
        <v>20</v>
      </c>
      <c r="K394" t="s">
        <v>2065</v>
      </c>
      <c r="L394" t="s">
        <v>2072</v>
      </c>
      <c r="M394">
        <v>2.6</v>
      </c>
      <c r="N394" t="s">
        <v>53</v>
      </c>
      <c r="O394" t="s">
        <v>2077</v>
      </c>
      <c r="P394">
        <v>0.72</v>
      </c>
      <c r="Q394" s="2">
        <v>0.72</v>
      </c>
      <c r="S394" s="5">
        <v>3.5999999999999997E-2</v>
      </c>
    </row>
    <row r="395" spans="1:19" x14ac:dyDescent="0.3">
      <c r="A395" t="s">
        <v>854</v>
      </c>
      <c r="B395" t="s">
        <v>855</v>
      </c>
      <c r="C395" t="s">
        <v>76</v>
      </c>
      <c r="D395" t="s">
        <v>80</v>
      </c>
      <c r="E395">
        <v>57</v>
      </c>
      <c r="F395" t="s">
        <v>83</v>
      </c>
      <c r="G395" t="s">
        <v>84</v>
      </c>
      <c r="H395" t="s">
        <v>66</v>
      </c>
      <c r="I395">
        <v>21</v>
      </c>
      <c r="J395" s="1">
        <v>40</v>
      </c>
      <c r="K395" t="s">
        <v>2065</v>
      </c>
      <c r="L395" t="s">
        <v>2067</v>
      </c>
      <c r="M395">
        <v>2.5</v>
      </c>
      <c r="N395">
        <v>0</v>
      </c>
      <c r="O395" t="s">
        <v>2077</v>
      </c>
      <c r="P395">
        <v>0.77</v>
      </c>
      <c r="Q395" s="2">
        <v>0.77</v>
      </c>
      <c r="S395" s="5">
        <v>1.925E-2</v>
      </c>
    </row>
    <row r="396" spans="1:19" x14ac:dyDescent="0.3">
      <c r="A396" t="s">
        <v>856</v>
      </c>
      <c r="B396" t="s">
        <v>857</v>
      </c>
      <c r="C396" t="s">
        <v>111</v>
      </c>
      <c r="D396" t="s">
        <v>80</v>
      </c>
      <c r="E396">
        <v>20</v>
      </c>
      <c r="F396" t="s">
        <v>87</v>
      </c>
      <c r="G396" t="s">
        <v>88</v>
      </c>
      <c r="H396" t="s">
        <v>33</v>
      </c>
      <c r="I396">
        <v>0</v>
      </c>
      <c r="J396" s="1">
        <v>30</v>
      </c>
      <c r="K396" t="s">
        <v>2068</v>
      </c>
      <c r="L396" t="s">
        <v>2069</v>
      </c>
      <c r="M396">
        <v>0</v>
      </c>
      <c r="N396">
        <v>1</v>
      </c>
      <c r="O396" t="s">
        <v>2076</v>
      </c>
      <c r="P396">
        <v>76</v>
      </c>
      <c r="Q396" s="2">
        <v>0.76</v>
      </c>
      <c r="R396">
        <v>0.76</v>
      </c>
      <c r="S396" s="5">
        <v>2.5333333333333301E-2</v>
      </c>
    </row>
    <row r="397" spans="1:19" x14ac:dyDescent="0.3">
      <c r="A397" t="s">
        <v>858</v>
      </c>
      <c r="B397" t="s">
        <v>859</v>
      </c>
      <c r="C397" t="s">
        <v>76</v>
      </c>
      <c r="D397" t="s">
        <v>80</v>
      </c>
      <c r="E397">
        <v>21</v>
      </c>
      <c r="F397" t="s">
        <v>37</v>
      </c>
      <c r="G397" t="s">
        <v>38</v>
      </c>
      <c r="H397" t="s">
        <v>63</v>
      </c>
      <c r="I397">
        <v>0</v>
      </c>
      <c r="J397" s="1">
        <v>100</v>
      </c>
      <c r="K397" t="s">
        <v>2065</v>
      </c>
      <c r="L397" t="s">
        <v>2070</v>
      </c>
      <c r="M397">
        <v>4.3</v>
      </c>
      <c r="N397">
        <v>0</v>
      </c>
      <c r="O397" t="s">
        <v>2077</v>
      </c>
    </row>
    <row r="398" spans="1:19" x14ac:dyDescent="0.3">
      <c r="A398" t="s">
        <v>860</v>
      </c>
      <c r="B398" t="s">
        <v>861</v>
      </c>
      <c r="C398" t="s">
        <v>36</v>
      </c>
      <c r="D398" t="s">
        <v>20</v>
      </c>
      <c r="E398">
        <v>58</v>
      </c>
      <c r="F398" t="s">
        <v>87</v>
      </c>
      <c r="G398" t="s">
        <v>88</v>
      </c>
      <c r="H398" t="s">
        <v>79</v>
      </c>
      <c r="I398">
        <v>35</v>
      </c>
      <c r="J398" s="1">
        <v>100</v>
      </c>
      <c r="K398" t="s">
        <v>2068</v>
      </c>
      <c r="L398" t="s">
        <v>2070</v>
      </c>
      <c r="M398">
        <v>2.2999999999999998</v>
      </c>
      <c r="N398" t="s">
        <v>96</v>
      </c>
      <c r="O398" t="s">
        <v>2076</v>
      </c>
    </row>
    <row r="399" spans="1:19" x14ac:dyDescent="0.3">
      <c r="A399" t="s">
        <v>862</v>
      </c>
      <c r="B399" t="s">
        <v>863</v>
      </c>
      <c r="C399" t="s">
        <v>15</v>
      </c>
      <c r="D399" t="s">
        <v>20</v>
      </c>
      <c r="E399">
        <v>26</v>
      </c>
      <c r="F399" t="s">
        <v>16</v>
      </c>
      <c r="G399" t="s">
        <v>17</v>
      </c>
      <c r="H399" t="s">
        <v>18</v>
      </c>
      <c r="I399">
        <v>1</v>
      </c>
      <c r="J399" s="1">
        <v>20</v>
      </c>
      <c r="K399" t="s">
        <v>2065</v>
      </c>
      <c r="L399" t="s">
        <v>2072</v>
      </c>
      <c r="M399">
        <v>0</v>
      </c>
      <c r="N399">
        <v>1</v>
      </c>
      <c r="O399" t="s">
        <v>2076</v>
      </c>
    </row>
    <row r="400" spans="1:19" x14ac:dyDescent="0.3">
      <c r="A400" t="s">
        <v>864</v>
      </c>
      <c r="B400" t="s">
        <v>865</v>
      </c>
      <c r="C400" t="s">
        <v>15</v>
      </c>
      <c r="D400" t="s">
        <v>20</v>
      </c>
      <c r="E400">
        <v>49</v>
      </c>
      <c r="F400" t="s">
        <v>42</v>
      </c>
      <c r="G400" t="s">
        <v>43</v>
      </c>
      <c r="H400" t="s">
        <v>33</v>
      </c>
      <c r="I400">
        <v>19</v>
      </c>
      <c r="M400">
        <v>5</v>
      </c>
      <c r="N400" t="s">
        <v>96</v>
      </c>
      <c r="O400" t="s">
        <v>2076</v>
      </c>
      <c r="P400">
        <v>0.83</v>
      </c>
      <c r="Q400" s="2">
        <v>0.83</v>
      </c>
    </row>
    <row r="401" spans="1:19" x14ac:dyDescent="0.3">
      <c r="A401" t="s">
        <v>866</v>
      </c>
      <c r="B401" t="s">
        <v>865</v>
      </c>
      <c r="C401" t="s">
        <v>36</v>
      </c>
      <c r="D401" t="s">
        <v>20</v>
      </c>
      <c r="E401">
        <v>38</v>
      </c>
      <c r="F401" t="s">
        <v>155</v>
      </c>
      <c r="G401" t="s">
        <v>17</v>
      </c>
      <c r="H401" t="s">
        <v>33</v>
      </c>
      <c r="I401">
        <v>9</v>
      </c>
      <c r="J401" s="1">
        <v>50</v>
      </c>
      <c r="K401" t="s">
        <v>2065</v>
      </c>
      <c r="L401" t="s">
        <v>2071</v>
      </c>
      <c r="M401">
        <v>0</v>
      </c>
      <c r="N401">
        <v>0</v>
      </c>
      <c r="O401" t="s">
        <v>2077</v>
      </c>
      <c r="P401">
        <v>0.74</v>
      </c>
      <c r="Q401" s="2">
        <v>0.74</v>
      </c>
      <c r="S401" s="5">
        <v>1.4800000000000001E-2</v>
      </c>
    </row>
    <row r="402" spans="1:19" x14ac:dyDescent="0.3">
      <c r="A402" t="s">
        <v>867</v>
      </c>
      <c r="B402" t="s">
        <v>868</v>
      </c>
      <c r="C402" t="s">
        <v>15</v>
      </c>
      <c r="D402" t="s">
        <v>20</v>
      </c>
      <c r="E402">
        <v>35</v>
      </c>
      <c r="F402" t="s">
        <v>87</v>
      </c>
      <c r="G402" t="s">
        <v>88</v>
      </c>
      <c r="H402" t="s">
        <v>18</v>
      </c>
      <c r="I402">
        <v>9</v>
      </c>
      <c r="J402" s="1">
        <v>50</v>
      </c>
      <c r="K402" t="s">
        <v>2068</v>
      </c>
      <c r="L402" t="s">
        <v>2071</v>
      </c>
      <c r="M402">
        <v>3</v>
      </c>
      <c r="N402" t="s">
        <v>53</v>
      </c>
      <c r="O402" t="s">
        <v>2077</v>
      </c>
      <c r="P402">
        <v>71</v>
      </c>
      <c r="Q402" s="2">
        <v>0.71</v>
      </c>
      <c r="R402">
        <v>0.71</v>
      </c>
      <c r="S402" s="5">
        <v>1.4200000000000001E-2</v>
      </c>
    </row>
    <row r="403" spans="1:19" x14ac:dyDescent="0.3">
      <c r="A403" t="s">
        <v>869</v>
      </c>
      <c r="B403" t="s">
        <v>870</v>
      </c>
      <c r="C403" t="s">
        <v>15</v>
      </c>
      <c r="D403" t="s">
        <v>20</v>
      </c>
      <c r="E403">
        <v>48</v>
      </c>
      <c r="F403" t="s">
        <v>16</v>
      </c>
      <c r="G403" t="s">
        <v>17</v>
      </c>
      <c r="H403" t="s">
        <v>79</v>
      </c>
      <c r="I403">
        <v>16</v>
      </c>
      <c r="J403" s="1">
        <v>30</v>
      </c>
      <c r="K403" t="s">
        <v>2065</v>
      </c>
      <c r="L403" t="s">
        <v>2069</v>
      </c>
      <c r="N403" t="s">
        <v>67</v>
      </c>
      <c r="O403" t="s">
        <v>2077</v>
      </c>
      <c r="P403">
        <v>0.97</v>
      </c>
      <c r="Q403" s="2">
        <v>0.97</v>
      </c>
      <c r="S403" s="5">
        <v>3.2333333333333297E-2</v>
      </c>
    </row>
    <row r="404" spans="1:19" x14ac:dyDescent="0.3">
      <c r="A404" t="s">
        <v>871</v>
      </c>
      <c r="B404" t="s">
        <v>872</v>
      </c>
      <c r="C404" t="s">
        <v>15</v>
      </c>
      <c r="D404" t="s">
        <v>20</v>
      </c>
      <c r="E404">
        <v>29</v>
      </c>
      <c r="F404" t="s">
        <v>16</v>
      </c>
      <c r="G404" t="s">
        <v>17</v>
      </c>
      <c r="H404" t="s">
        <v>79</v>
      </c>
      <c r="J404" s="1">
        <v>20</v>
      </c>
      <c r="K404" t="s">
        <v>2072</v>
      </c>
      <c r="M404">
        <v>0</v>
      </c>
      <c r="N404">
        <v>0</v>
      </c>
      <c r="O404" t="s">
        <v>2077</v>
      </c>
      <c r="P404">
        <v>0.9</v>
      </c>
      <c r="Q404" s="2">
        <v>0.9</v>
      </c>
      <c r="S404" s="5">
        <v>4.4999999999999998E-2</v>
      </c>
    </row>
    <row r="405" spans="1:19" x14ac:dyDescent="0.3">
      <c r="A405" t="s">
        <v>873</v>
      </c>
      <c r="B405" t="s">
        <v>874</v>
      </c>
      <c r="C405" t="s">
        <v>15</v>
      </c>
      <c r="D405" t="s">
        <v>20</v>
      </c>
      <c r="E405">
        <v>27</v>
      </c>
      <c r="F405" t="s">
        <v>158</v>
      </c>
      <c r="G405" t="s">
        <v>159</v>
      </c>
      <c r="H405" t="s">
        <v>18</v>
      </c>
      <c r="I405">
        <v>5</v>
      </c>
      <c r="J405" s="1">
        <v>75</v>
      </c>
      <c r="K405" t="s">
        <v>2065</v>
      </c>
      <c r="L405" t="s">
        <v>2066</v>
      </c>
      <c r="M405">
        <v>1.4</v>
      </c>
      <c r="N405" t="b">
        <v>1</v>
      </c>
      <c r="O405" t="s">
        <v>2076</v>
      </c>
      <c r="P405">
        <v>0.64</v>
      </c>
      <c r="Q405" s="2">
        <v>0.64</v>
      </c>
      <c r="S405" s="5">
        <v>8.5333333333333407E-3</v>
      </c>
    </row>
    <row r="406" spans="1:19" x14ac:dyDescent="0.3">
      <c r="A406" t="s">
        <v>875</v>
      </c>
      <c r="B406" t="s">
        <v>876</v>
      </c>
      <c r="C406" t="s">
        <v>15</v>
      </c>
      <c r="D406" t="s">
        <v>20</v>
      </c>
      <c r="E406">
        <v>35</v>
      </c>
      <c r="F406" t="s">
        <v>155</v>
      </c>
      <c r="G406" t="s">
        <v>17</v>
      </c>
      <c r="H406" t="s">
        <v>79</v>
      </c>
      <c r="I406">
        <v>12</v>
      </c>
      <c r="J406" s="1">
        <v>20</v>
      </c>
      <c r="K406" t="s">
        <v>2068</v>
      </c>
      <c r="L406" t="s">
        <v>2072</v>
      </c>
      <c r="M406">
        <v>4.0999999999999996</v>
      </c>
      <c r="P406">
        <v>0.94</v>
      </c>
      <c r="Q406" s="2">
        <v>0.94</v>
      </c>
      <c r="S406" s="5">
        <v>4.7E-2</v>
      </c>
    </row>
    <row r="407" spans="1:19" x14ac:dyDescent="0.3">
      <c r="A407" t="s">
        <v>877</v>
      </c>
      <c r="B407" t="s">
        <v>878</v>
      </c>
      <c r="C407" t="s">
        <v>15</v>
      </c>
      <c r="D407" t="s">
        <v>20</v>
      </c>
      <c r="E407">
        <v>41</v>
      </c>
      <c r="F407" t="s">
        <v>58</v>
      </c>
      <c r="G407" t="s">
        <v>59</v>
      </c>
      <c r="H407" t="s">
        <v>33</v>
      </c>
      <c r="J407" s="1">
        <v>20</v>
      </c>
      <c r="K407" t="s">
        <v>2072</v>
      </c>
      <c r="M407">
        <v>2.8</v>
      </c>
      <c r="N407" t="b">
        <v>1</v>
      </c>
      <c r="O407" t="s">
        <v>2076</v>
      </c>
      <c r="P407">
        <v>0.63</v>
      </c>
      <c r="Q407" s="2">
        <v>0.63</v>
      </c>
      <c r="S407" s="5">
        <v>3.15E-2</v>
      </c>
    </row>
    <row r="408" spans="1:19" x14ac:dyDescent="0.3">
      <c r="A408" t="s">
        <v>879</v>
      </c>
      <c r="B408" t="s">
        <v>880</v>
      </c>
      <c r="C408" t="s">
        <v>36</v>
      </c>
      <c r="D408" t="s">
        <v>20</v>
      </c>
      <c r="E408">
        <v>45</v>
      </c>
      <c r="F408" t="s">
        <v>50</v>
      </c>
      <c r="G408" t="s">
        <v>51</v>
      </c>
      <c r="H408" t="s">
        <v>18</v>
      </c>
      <c r="I408">
        <v>25</v>
      </c>
      <c r="J408" s="1">
        <v>50</v>
      </c>
      <c r="K408" t="s">
        <v>2071</v>
      </c>
      <c r="M408">
        <v>0</v>
      </c>
      <c r="N408" t="s">
        <v>67</v>
      </c>
      <c r="O408" t="s">
        <v>2077</v>
      </c>
      <c r="P408">
        <v>99</v>
      </c>
      <c r="Q408" s="2">
        <v>0.99</v>
      </c>
      <c r="R408">
        <v>0.99</v>
      </c>
      <c r="S408" s="5">
        <v>1.9800000000000002E-2</v>
      </c>
    </row>
    <row r="409" spans="1:19" x14ac:dyDescent="0.3">
      <c r="A409" t="s">
        <v>881</v>
      </c>
      <c r="B409" t="s">
        <v>882</v>
      </c>
      <c r="C409" t="s">
        <v>15</v>
      </c>
      <c r="D409" t="s">
        <v>20</v>
      </c>
      <c r="E409">
        <v>30</v>
      </c>
      <c r="F409" t="s">
        <v>16</v>
      </c>
      <c r="G409" t="s">
        <v>17</v>
      </c>
      <c r="H409" t="s">
        <v>79</v>
      </c>
      <c r="I409">
        <v>4</v>
      </c>
      <c r="M409">
        <v>2.8</v>
      </c>
      <c r="N409">
        <v>1</v>
      </c>
      <c r="O409" t="s">
        <v>2076</v>
      </c>
      <c r="P409">
        <v>0.71</v>
      </c>
      <c r="Q409" s="2">
        <v>0.71</v>
      </c>
    </row>
    <row r="410" spans="1:19" x14ac:dyDescent="0.3">
      <c r="A410" t="s">
        <v>883</v>
      </c>
      <c r="B410" t="s">
        <v>884</v>
      </c>
      <c r="C410" t="s">
        <v>36</v>
      </c>
      <c r="D410" t="s">
        <v>20</v>
      </c>
      <c r="E410">
        <v>29</v>
      </c>
      <c r="F410" t="s">
        <v>83</v>
      </c>
      <c r="G410" t="s">
        <v>84</v>
      </c>
      <c r="H410" t="s">
        <v>52</v>
      </c>
      <c r="I410">
        <v>3</v>
      </c>
      <c r="J410" s="1">
        <v>40</v>
      </c>
      <c r="K410" t="s">
        <v>2068</v>
      </c>
      <c r="L410" t="s">
        <v>2067</v>
      </c>
      <c r="M410">
        <v>0</v>
      </c>
      <c r="N410" t="b">
        <v>1</v>
      </c>
      <c r="O410" t="s">
        <v>2076</v>
      </c>
      <c r="P410">
        <v>0.81</v>
      </c>
      <c r="Q410" s="2">
        <v>0.81</v>
      </c>
      <c r="S410" s="5">
        <v>2.0250000000000001E-2</v>
      </c>
    </row>
    <row r="411" spans="1:19" x14ac:dyDescent="0.3">
      <c r="A411" t="s">
        <v>885</v>
      </c>
      <c r="B411" t="s">
        <v>886</v>
      </c>
      <c r="C411" t="s">
        <v>15</v>
      </c>
      <c r="D411" t="s">
        <v>20</v>
      </c>
      <c r="E411">
        <v>42</v>
      </c>
      <c r="F411" t="s">
        <v>27</v>
      </c>
      <c r="G411" t="s">
        <v>28</v>
      </c>
      <c r="H411" t="s">
        <v>66</v>
      </c>
      <c r="I411">
        <v>8</v>
      </c>
      <c r="J411" s="1">
        <v>30</v>
      </c>
      <c r="K411" t="s">
        <v>2069</v>
      </c>
      <c r="M411">
        <v>3.6</v>
      </c>
      <c r="N411">
        <v>1</v>
      </c>
      <c r="O411" t="s">
        <v>2076</v>
      </c>
      <c r="P411">
        <v>0.96</v>
      </c>
      <c r="Q411" s="2">
        <v>0.96</v>
      </c>
      <c r="S411" s="5">
        <v>3.2000000000000001E-2</v>
      </c>
    </row>
    <row r="412" spans="1:19" x14ac:dyDescent="0.3">
      <c r="A412" t="s">
        <v>887</v>
      </c>
      <c r="B412" t="s">
        <v>888</v>
      </c>
      <c r="C412" t="s">
        <v>15</v>
      </c>
      <c r="D412" t="s">
        <v>20</v>
      </c>
      <c r="E412">
        <v>33</v>
      </c>
      <c r="F412" t="s">
        <v>31</v>
      </c>
      <c r="G412" t="s">
        <v>32</v>
      </c>
      <c r="H412" t="s">
        <v>39</v>
      </c>
      <c r="I412">
        <v>10</v>
      </c>
      <c r="J412" s="1">
        <v>30</v>
      </c>
      <c r="K412" t="s">
        <v>2068</v>
      </c>
      <c r="L412" t="s">
        <v>2069</v>
      </c>
      <c r="M412">
        <v>0</v>
      </c>
      <c r="N412" t="s">
        <v>19</v>
      </c>
      <c r="O412" t="s">
        <v>2076</v>
      </c>
      <c r="P412">
        <v>0.89</v>
      </c>
      <c r="Q412" s="2">
        <v>0.89</v>
      </c>
      <c r="S412" s="5">
        <v>2.9666666666666699E-2</v>
      </c>
    </row>
    <row r="413" spans="1:19" x14ac:dyDescent="0.3">
      <c r="A413" t="s">
        <v>889</v>
      </c>
      <c r="B413" t="s">
        <v>890</v>
      </c>
      <c r="C413" t="s">
        <v>15</v>
      </c>
      <c r="D413" t="s">
        <v>20</v>
      </c>
      <c r="E413">
        <v>56</v>
      </c>
      <c r="F413" t="s">
        <v>101</v>
      </c>
      <c r="G413" t="s">
        <v>59</v>
      </c>
      <c r="H413" t="s">
        <v>39</v>
      </c>
      <c r="I413">
        <v>19</v>
      </c>
      <c r="J413" s="1">
        <v>40</v>
      </c>
      <c r="K413" t="s">
        <v>2067</v>
      </c>
      <c r="M413">
        <v>1.2</v>
      </c>
      <c r="N413" t="s">
        <v>96</v>
      </c>
      <c r="O413" t="s">
        <v>2076</v>
      </c>
      <c r="P413">
        <v>0.82</v>
      </c>
      <c r="Q413" s="2">
        <v>0.82</v>
      </c>
      <c r="S413" s="5">
        <v>2.0500000000000001E-2</v>
      </c>
    </row>
    <row r="414" spans="1:19" x14ac:dyDescent="0.3">
      <c r="A414" t="s">
        <v>891</v>
      </c>
      <c r="B414" t="s">
        <v>892</v>
      </c>
      <c r="C414" t="s">
        <v>76</v>
      </c>
      <c r="D414" t="s">
        <v>80</v>
      </c>
      <c r="E414">
        <v>58</v>
      </c>
      <c r="F414" t="s">
        <v>16</v>
      </c>
      <c r="G414" t="s">
        <v>17</v>
      </c>
      <c r="H414" t="s">
        <v>33</v>
      </c>
      <c r="I414">
        <v>40</v>
      </c>
      <c r="J414" s="1">
        <v>75</v>
      </c>
      <c r="K414" t="s">
        <v>2066</v>
      </c>
      <c r="M414">
        <v>3.4</v>
      </c>
      <c r="N414">
        <v>1</v>
      </c>
      <c r="O414" t="s">
        <v>2076</v>
      </c>
      <c r="P414">
        <v>1</v>
      </c>
      <c r="Q414" s="2">
        <v>1</v>
      </c>
      <c r="S414" s="5">
        <v>1.3333333333333299E-2</v>
      </c>
    </row>
    <row r="415" spans="1:19" x14ac:dyDescent="0.3">
      <c r="A415" t="s">
        <v>893</v>
      </c>
      <c r="B415" t="s">
        <v>894</v>
      </c>
      <c r="C415" t="s">
        <v>76</v>
      </c>
      <c r="D415" t="s">
        <v>80</v>
      </c>
      <c r="E415">
        <v>53</v>
      </c>
      <c r="F415" t="s">
        <v>50</v>
      </c>
      <c r="G415" t="s">
        <v>51</v>
      </c>
      <c r="H415" t="s">
        <v>79</v>
      </c>
      <c r="I415">
        <v>32</v>
      </c>
      <c r="J415" s="1">
        <v>20</v>
      </c>
      <c r="K415" t="s">
        <v>2068</v>
      </c>
      <c r="L415" t="s">
        <v>2072</v>
      </c>
      <c r="M415">
        <v>0</v>
      </c>
      <c r="N415" t="s">
        <v>53</v>
      </c>
      <c r="O415" t="s">
        <v>2077</v>
      </c>
    </row>
    <row r="416" spans="1:19" x14ac:dyDescent="0.3">
      <c r="A416" t="s">
        <v>895</v>
      </c>
      <c r="B416" t="s">
        <v>896</v>
      </c>
      <c r="C416" t="s">
        <v>76</v>
      </c>
      <c r="D416" t="s">
        <v>80</v>
      </c>
      <c r="E416">
        <v>49</v>
      </c>
      <c r="F416" t="s">
        <v>50</v>
      </c>
      <c r="G416" t="s">
        <v>51</v>
      </c>
      <c r="H416" t="s">
        <v>63</v>
      </c>
      <c r="I416">
        <v>14</v>
      </c>
      <c r="J416" s="1">
        <v>40</v>
      </c>
      <c r="K416" t="s">
        <v>2067</v>
      </c>
      <c r="M416">
        <v>1.5</v>
      </c>
      <c r="P416">
        <v>0.6</v>
      </c>
      <c r="Q416" s="2">
        <v>0.6</v>
      </c>
      <c r="S416" s="5">
        <v>1.4999999999999999E-2</v>
      </c>
    </row>
    <row r="417" spans="1:19" x14ac:dyDescent="0.3">
      <c r="A417" t="s">
        <v>897</v>
      </c>
      <c r="B417" t="s">
        <v>898</v>
      </c>
      <c r="C417" t="s">
        <v>111</v>
      </c>
      <c r="D417" t="s">
        <v>80</v>
      </c>
      <c r="E417">
        <v>58</v>
      </c>
      <c r="F417" t="s">
        <v>50</v>
      </c>
      <c r="G417" t="s">
        <v>51</v>
      </c>
      <c r="H417" t="s">
        <v>18</v>
      </c>
      <c r="I417">
        <v>25</v>
      </c>
      <c r="J417" s="1">
        <v>30</v>
      </c>
      <c r="K417" t="s">
        <v>2065</v>
      </c>
      <c r="L417" t="s">
        <v>2069</v>
      </c>
      <c r="M417">
        <v>4.2</v>
      </c>
      <c r="N417" t="s">
        <v>96</v>
      </c>
      <c r="O417" t="s">
        <v>2076</v>
      </c>
      <c r="P417">
        <v>0.71</v>
      </c>
      <c r="Q417" s="2">
        <v>0.71</v>
      </c>
      <c r="S417" s="5">
        <v>2.36666666666667E-2</v>
      </c>
    </row>
    <row r="418" spans="1:19" x14ac:dyDescent="0.3">
      <c r="A418" t="s">
        <v>899</v>
      </c>
      <c r="B418" t="s">
        <v>900</v>
      </c>
      <c r="C418" t="s">
        <v>111</v>
      </c>
      <c r="D418" t="s">
        <v>80</v>
      </c>
      <c r="E418">
        <v>20</v>
      </c>
      <c r="F418" t="s">
        <v>155</v>
      </c>
      <c r="G418" t="s">
        <v>17</v>
      </c>
      <c r="H418" t="s">
        <v>79</v>
      </c>
      <c r="I418">
        <v>2</v>
      </c>
      <c r="J418" s="1">
        <v>20</v>
      </c>
      <c r="K418" t="s">
        <v>2065</v>
      </c>
      <c r="L418" t="s">
        <v>2072</v>
      </c>
      <c r="M418">
        <v>2.8</v>
      </c>
      <c r="N418">
        <v>0</v>
      </c>
      <c r="O418" t="s">
        <v>2077</v>
      </c>
      <c r="P418">
        <v>0.78</v>
      </c>
      <c r="Q418" s="2">
        <v>0.78</v>
      </c>
      <c r="S418" s="5">
        <v>3.9E-2</v>
      </c>
    </row>
    <row r="419" spans="1:19" x14ac:dyDescent="0.3">
      <c r="A419" t="s">
        <v>901</v>
      </c>
      <c r="B419" t="s">
        <v>902</v>
      </c>
      <c r="C419" t="s">
        <v>76</v>
      </c>
      <c r="D419" t="s">
        <v>80</v>
      </c>
      <c r="E419">
        <v>21</v>
      </c>
      <c r="F419" t="s">
        <v>158</v>
      </c>
      <c r="G419" t="s">
        <v>159</v>
      </c>
      <c r="H419" t="s">
        <v>60</v>
      </c>
      <c r="I419">
        <v>2</v>
      </c>
      <c r="J419" s="1">
        <v>100</v>
      </c>
      <c r="K419" t="s">
        <v>2070</v>
      </c>
      <c r="M419">
        <v>2.4</v>
      </c>
      <c r="N419" t="s">
        <v>96</v>
      </c>
      <c r="O419" t="s">
        <v>2076</v>
      </c>
    </row>
    <row r="420" spans="1:19" x14ac:dyDescent="0.3">
      <c r="A420" t="s">
        <v>903</v>
      </c>
      <c r="B420" t="s">
        <v>904</v>
      </c>
      <c r="C420" t="s">
        <v>76</v>
      </c>
      <c r="D420" t="s">
        <v>80</v>
      </c>
      <c r="E420">
        <v>34</v>
      </c>
      <c r="F420" t="s">
        <v>188</v>
      </c>
      <c r="G420" t="s">
        <v>189</v>
      </c>
      <c r="H420" t="s">
        <v>66</v>
      </c>
      <c r="I420">
        <v>8</v>
      </c>
      <c r="J420" s="1">
        <v>30</v>
      </c>
      <c r="K420" t="s">
        <v>2069</v>
      </c>
      <c r="M420">
        <v>3.9</v>
      </c>
      <c r="N420" t="s">
        <v>96</v>
      </c>
      <c r="O420" t="s">
        <v>2076</v>
      </c>
      <c r="P420">
        <v>0.95</v>
      </c>
      <c r="Q420" s="2">
        <v>0.95</v>
      </c>
      <c r="S420" s="5">
        <v>3.1666666666666697E-2</v>
      </c>
    </row>
    <row r="421" spans="1:19" x14ac:dyDescent="0.3">
      <c r="A421" t="s">
        <v>905</v>
      </c>
      <c r="B421" t="s">
        <v>906</v>
      </c>
      <c r="C421" t="s">
        <v>76</v>
      </c>
      <c r="D421" t="s">
        <v>80</v>
      </c>
      <c r="E421">
        <v>28</v>
      </c>
      <c r="F421" t="s">
        <v>83</v>
      </c>
      <c r="G421" t="s">
        <v>84</v>
      </c>
      <c r="H421" t="s">
        <v>79</v>
      </c>
      <c r="I421">
        <v>1</v>
      </c>
      <c r="J421" s="1">
        <v>20</v>
      </c>
      <c r="K421" t="s">
        <v>2072</v>
      </c>
      <c r="M421">
        <v>3.6</v>
      </c>
      <c r="N421" t="s">
        <v>19</v>
      </c>
      <c r="O421" t="s">
        <v>2076</v>
      </c>
      <c r="P421">
        <v>0.94</v>
      </c>
      <c r="Q421" s="2">
        <v>0.94</v>
      </c>
      <c r="S421" s="5">
        <v>4.7E-2</v>
      </c>
    </row>
    <row r="422" spans="1:19" x14ac:dyDescent="0.3">
      <c r="A422" t="s">
        <v>907</v>
      </c>
      <c r="B422" t="s">
        <v>908</v>
      </c>
      <c r="C422" t="s">
        <v>111</v>
      </c>
      <c r="D422" t="s">
        <v>80</v>
      </c>
      <c r="E422">
        <v>49</v>
      </c>
      <c r="F422" t="s">
        <v>254</v>
      </c>
      <c r="G422" t="s">
        <v>255</v>
      </c>
      <c r="H422" t="s">
        <v>33</v>
      </c>
      <c r="I422">
        <v>15</v>
      </c>
      <c r="J422" s="1">
        <v>75</v>
      </c>
      <c r="K422" t="s">
        <v>2068</v>
      </c>
      <c r="L422" t="s">
        <v>2066</v>
      </c>
      <c r="M422">
        <v>2.6</v>
      </c>
      <c r="N422" t="s">
        <v>53</v>
      </c>
      <c r="O422" t="s">
        <v>2077</v>
      </c>
      <c r="P422">
        <v>0.83</v>
      </c>
      <c r="Q422" s="2">
        <v>0.83</v>
      </c>
      <c r="S422" s="5">
        <v>1.10666666666667E-2</v>
      </c>
    </row>
    <row r="423" spans="1:19" x14ac:dyDescent="0.3">
      <c r="A423" t="s">
        <v>909</v>
      </c>
      <c r="B423" t="s">
        <v>910</v>
      </c>
      <c r="C423" t="s">
        <v>111</v>
      </c>
      <c r="D423" t="s">
        <v>80</v>
      </c>
      <c r="E423">
        <v>45</v>
      </c>
      <c r="F423" t="s">
        <v>31</v>
      </c>
      <c r="G423" t="s">
        <v>32</v>
      </c>
      <c r="H423" t="s">
        <v>52</v>
      </c>
      <c r="I423">
        <v>19</v>
      </c>
      <c r="J423" s="1">
        <v>40</v>
      </c>
      <c r="K423" t="s">
        <v>2067</v>
      </c>
      <c r="N423">
        <v>1</v>
      </c>
      <c r="O423" t="s">
        <v>2076</v>
      </c>
      <c r="P423">
        <v>0.72</v>
      </c>
      <c r="Q423" s="2">
        <v>0.72</v>
      </c>
      <c r="S423" s="5">
        <v>1.7999999999999999E-2</v>
      </c>
    </row>
    <row r="424" spans="1:19" x14ac:dyDescent="0.3">
      <c r="A424" t="s">
        <v>911</v>
      </c>
      <c r="B424" t="s">
        <v>912</v>
      </c>
      <c r="C424" t="s">
        <v>111</v>
      </c>
      <c r="D424" t="s">
        <v>80</v>
      </c>
      <c r="E424">
        <v>54</v>
      </c>
      <c r="F424" t="s">
        <v>31</v>
      </c>
      <c r="G424" t="s">
        <v>32</v>
      </c>
      <c r="H424" t="s">
        <v>47</v>
      </c>
      <c r="I424">
        <v>13</v>
      </c>
      <c r="J424" s="1">
        <v>75</v>
      </c>
      <c r="K424" t="s">
        <v>2066</v>
      </c>
      <c r="M424">
        <v>2.9</v>
      </c>
      <c r="P424">
        <v>92</v>
      </c>
      <c r="Q424" s="2">
        <v>0.92</v>
      </c>
      <c r="R424">
        <v>0.92</v>
      </c>
      <c r="S424" s="5">
        <v>1.22666666666667E-2</v>
      </c>
    </row>
    <row r="425" spans="1:19" x14ac:dyDescent="0.3">
      <c r="A425" t="s">
        <v>913</v>
      </c>
      <c r="B425" t="s">
        <v>914</v>
      </c>
      <c r="C425" t="s">
        <v>111</v>
      </c>
      <c r="D425" t="s">
        <v>80</v>
      </c>
      <c r="E425">
        <v>29</v>
      </c>
      <c r="F425" t="s">
        <v>37</v>
      </c>
      <c r="G425" t="s">
        <v>38</v>
      </c>
      <c r="H425" t="s">
        <v>60</v>
      </c>
      <c r="I425">
        <v>11</v>
      </c>
      <c r="J425" s="1">
        <v>100</v>
      </c>
      <c r="K425" t="s">
        <v>2070</v>
      </c>
      <c r="M425">
        <v>2.2999999999999998</v>
      </c>
      <c r="N425" t="b">
        <v>1</v>
      </c>
      <c r="O425" t="s">
        <v>2076</v>
      </c>
      <c r="P425">
        <v>0.72</v>
      </c>
      <c r="Q425" s="2">
        <v>0.72</v>
      </c>
      <c r="S425" s="5">
        <v>7.1999999999999998E-3</v>
      </c>
    </row>
    <row r="426" spans="1:19" x14ac:dyDescent="0.3">
      <c r="A426" t="s">
        <v>915</v>
      </c>
      <c r="B426" t="s">
        <v>916</v>
      </c>
      <c r="C426" t="s">
        <v>76</v>
      </c>
      <c r="D426" t="s">
        <v>80</v>
      </c>
      <c r="E426">
        <v>58</v>
      </c>
      <c r="F426" t="s">
        <v>118</v>
      </c>
      <c r="G426" t="s">
        <v>119</v>
      </c>
      <c r="H426" t="s">
        <v>18</v>
      </c>
      <c r="I426">
        <v>29</v>
      </c>
      <c r="J426" s="1">
        <v>30</v>
      </c>
      <c r="K426" t="s">
        <v>2069</v>
      </c>
      <c r="M426">
        <v>3.3</v>
      </c>
      <c r="N426" t="s">
        <v>19</v>
      </c>
      <c r="O426" t="s">
        <v>2076</v>
      </c>
      <c r="P426">
        <v>0.89</v>
      </c>
      <c r="Q426" s="2">
        <v>0.89</v>
      </c>
      <c r="S426" s="5">
        <v>2.9666666666666699E-2</v>
      </c>
    </row>
    <row r="427" spans="1:19" x14ac:dyDescent="0.3">
      <c r="A427" t="s">
        <v>917</v>
      </c>
      <c r="B427" t="s">
        <v>918</v>
      </c>
      <c r="C427" t="s">
        <v>76</v>
      </c>
      <c r="D427" t="s">
        <v>80</v>
      </c>
      <c r="E427">
        <v>33</v>
      </c>
      <c r="F427" t="s">
        <v>101</v>
      </c>
      <c r="G427" t="s">
        <v>59</v>
      </c>
      <c r="H427" t="s">
        <v>39</v>
      </c>
      <c r="I427">
        <v>11</v>
      </c>
      <c r="M427">
        <v>4.5999999999999996</v>
      </c>
      <c r="N427" t="s">
        <v>19</v>
      </c>
      <c r="O427" t="s">
        <v>2076</v>
      </c>
    </row>
    <row r="428" spans="1:19" x14ac:dyDescent="0.3">
      <c r="A428" t="s">
        <v>919</v>
      </c>
      <c r="B428" t="s">
        <v>920</v>
      </c>
      <c r="C428" t="s">
        <v>111</v>
      </c>
      <c r="D428" t="s">
        <v>80</v>
      </c>
      <c r="E428">
        <v>30</v>
      </c>
      <c r="F428" t="s">
        <v>42</v>
      </c>
      <c r="G428" t="s">
        <v>43</v>
      </c>
      <c r="H428" t="s">
        <v>39</v>
      </c>
      <c r="I428">
        <v>0</v>
      </c>
      <c r="M428">
        <v>0</v>
      </c>
      <c r="N428">
        <v>0</v>
      </c>
      <c r="O428" t="s">
        <v>2077</v>
      </c>
    </row>
    <row r="429" spans="1:19" x14ac:dyDescent="0.3">
      <c r="A429" t="s">
        <v>921</v>
      </c>
      <c r="B429" t="s">
        <v>922</v>
      </c>
      <c r="C429" t="s">
        <v>111</v>
      </c>
      <c r="D429" t="s">
        <v>80</v>
      </c>
      <c r="E429">
        <v>57</v>
      </c>
      <c r="F429" t="s">
        <v>23</v>
      </c>
      <c r="G429" t="s">
        <v>24</v>
      </c>
      <c r="H429" t="s">
        <v>63</v>
      </c>
      <c r="I429">
        <v>10</v>
      </c>
      <c r="J429" s="1">
        <v>100</v>
      </c>
      <c r="K429" t="s">
        <v>2065</v>
      </c>
      <c r="L429" t="s">
        <v>2070</v>
      </c>
      <c r="M429">
        <v>4.3</v>
      </c>
      <c r="N429" t="b">
        <v>0</v>
      </c>
      <c r="O429" t="s">
        <v>2077</v>
      </c>
    </row>
    <row r="430" spans="1:19" x14ac:dyDescent="0.3">
      <c r="A430" t="s">
        <v>923</v>
      </c>
      <c r="B430" t="s">
        <v>924</v>
      </c>
      <c r="C430" t="s">
        <v>111</v>
      </c>
      <c r="D430" t="s">
        <v>80</v>
      </c>
      <c r="E430">
        <v>24</v>
      </c>
      <c r="F430" t="s">
        <v>188</v>
      </c>
      <c r="G430" t="s">
        <v>189</v>
      </c>
      <c r="H430" t="s">
        <v>52</v>
      </c>
      <c r="I430">
        <v>6</v>
      </c>
      <c r="J430" s="1">
        <v>30</v>
      </c>
      <c r="K430" t="s">
        <v>2069</v>
      </c>
      <c r="M430">
        <v>1.1000000000000001</v>
      </c>
      <c r="N430" t="s">
        <v>19</v>
      </c>
      <c r="O430" t="s">
        <v>2076</v>
      </c>
    </row>
    <row r="431" spans="1:19" x14ac:dyDescent="0.3">
      <c r="A431" t="s">
        <v>925</v>
      </c>
      <c r="B431" t="s">
        <v>926</v>
      </c>
      <c r="C431" t="s">
        <v>76</v>
      </c>
      <c r="D431" t="s">
        <v>80</v>
      </c>
      <c r="E431">
        <v>47</v>
      </c>
      <c r="F431" t="s">
        <v>27</v>
      </c>
      <c r="G431" t="s">
        <v>28</v>
      </c>
      <c r="H431" t="s">
        <v>33</v>
      </c>
      <c r="I431">
        <v>15</v>
      </c>
      <c r="J431" s="1">
        <v>40</v>
      </c>
      <c r="K431" t="s">
        <v>2067</v>
      </c>
      <c r="M431">
        <v>2.1</v>
      </c>
      <c r="N431" t="s">
        <v>19</v>
      </c>
      <c r="O431" t="s">
        <v>2076</v>
      </c>
      <c r="P431">
        <v>0.94</v>
      </c>
      <c r="Q431" s="2">
        <v>0.94</v>
      </c>
      <c r="S431" s="5">
        <v>2.35E-2</v>
      </c>
    </row>
    <row r="432" spans="1:19" x14ac:dyDescent="0.3">
      <c r="A432" t="s">
        <v>927</v>
      </c>
      <c r="B432" t="s">
        <v>928</v>
      </c>
      <c r="C432" t="s">
        <v>76</v>
      </c>
      <c r="D432" t="s">
        <v>80</v>
      </c>
      <c r="E432">
        <v>45</v>
      </c>
      <c r="F432" t="s">
        <v>101</v>
      </c>
      <c r="G432" t="s">
        <v>59</v>
      </c>
      <c r="H432" t="s">
        <v>18</v>
      </c>
      <c r="I432">
        <v>8</v>
      </c>
      <c r="J432" s="1">
        <v>40</v>
      </c>
      <c r="K432" t="s">
        <v>2067</v>
      </c>
      <c r="M432">
        <v>0</v>
      </c>
      <c r="N432">
        <v>0</v>
      </c>
      <c r="O432" t="s">
        <v>2077</v>
      </c>
      <c r="P432">
        <v>78</v>
      </c>
      <c r="Q432" s="2">
        <v>0.78</v>
      </c>
      <c r="R432">
        <v>0.78</v>
      </c>
      <c r="S432" s="5">
        <v>1.95E-2</v>
      </c>
    </row>
    <row r="433" spans="1:19" x14ac:dyDescent="0.3">
      <c r="A433" t="s">
        <v>929</v>
      </c>
      <c r="B433" t="s">
        <v>930</v>
      </c>
      <c r="C433" t="s">
        <v>36</v>
      </c>
      <c r="D433" t="s">
        <v>20</v>
      </c>
      <c r="E433">
        <v>55</v>
      </c>
      <c r="F433" t="s">
        <v>254</v>
      </c>
      <c r="G433" t="s">
        <v>255</v>
      </c>
      <c r="H433" t="s">
        <v>66</v>
      </c>
      <c r="I433">
        <v>15</v>
      </c>
      <c r="J433" s="1">
        <v>40</v>
      </c>
      <c r="K433" t="s">
        <v>2067</v>
      </c>
      <c r="M433">
        <v>4.5</v>
      </c>
    </row>
    <row r="434" spans="1:19" x14ac:dyDescent="0.3">
      <c r="A434" t="s">
        <v>931</v>
      </c>
      <c r="B434" t="s">
        <v>932</v>
      </c>
      <c r="C434" t="s">
        <v>15</v>
      </c>
      <c r="D434" t="s">
        <v>20</v>
      </c>
      <c r="E434">
        <v>46</v>
      </c>
      <c r="F434" t="s">
        <v>139</v>
      </c>
      <c r="G434" t="s">
        <v>59</v>
      </c>
      <c r="H434" t="s">
        <v>63</v>
      </c>
      <c r="I434">
        <v>24</v>
      </c>
      <c r="J434" s="1">
        <v>40</v>
      </c>
      <c r="K434" t="s">
        <v>2067</v>
      </c>
      <c r="M434">
        <v>3.3</v>
      </c>
      <c r="N434">
        <v>1</v>
      </c>
      <c r="O434" t="s">
        <v>2076</v>
      </c>
      <c r="P434">
        <v>0.87</v>
      </c>
      <c r="Q434" s="2">
        <v>0.87</v>
      </c>
      <c r="S434" s="5">
        <v>2.1749999999999999E-2</v>
      </c>
    </row>
    <row r="435" spans="1:19" x14ac:dyDescent="0.3">
      <c r="A435" t="s">
        <v>933</v>
      </c>
      <c r="B435" t="s">
        <v>934</v>
      </c>
      <c r="C435" t="s">
        <v>15</v>
      </c>
      <c r="D435" t="s">
        <v>20</v>
      </c>
      <c r="E435">
        <v>55</v>
      </c>
      <c r="F435" t="s">
        <v>87</v>
      </c>
      <c r="G435" t="s">
        <v>88</v>
      </c>
      <c r="H435" t="s">
        <v>47</v>
      </c>
      <c r="I435">
        <v>6</v>
      </c>
      <c r="J435" s="1">
        <v>40</v>
      </c>
      <c r="K435" t="s">
        <v>2065</v>
      </c>
      <c r="L435" t="s">
        <v>2067</v>
      </c>
      <c r="M435">
        <v>3.6</v>
      </c>
      <c r="N435" t="s">
        <v>96</v>
      </c>
      <c r="O435" t="s">
        <v>2076</v>
      </c>
    </row>
    <row r="436" spans="1:19" x14ac:dyDescent="0.3">
      <c r="A436" t="s">
        <v>935</v>
      </c>
      <c r="B436" t="s">
        <v>936</v>
      </c>
      <c r="C436" t="s">
        <v>15</v>
      </c>
      <c r="D436" t="s">
        <v>20</v>
      </c>
      <c r="E436">
        <v>32</v>
      </c>
      <c r="F436" t="s">
        <v>23</v>
      </c>
      <c r="G436" t="s">
        <v>24</v>
      </c>
      <c r="H436" t="s">
        <v>33</v>
      </c>
      <c r="J436" s="1">
        <v>30</v>
      </c>
      <c r="K436" t="s">
        <v>2069</v>
      </c>
      <c r="M436">
        <v>1.9</v>
      </c>
      <c r="N436" t="b">
        <v>1</v>
      </c>
      <c r="O436" t="s">
        <v>2076</v>
      </c>
      <c r="P436">
        <v>0.96</v>
      </c>
      <c r="Q436" s="2">
        <v>0.96</v>
      </c>
      <c r="S436" s="5">
        <v>3.2000000000000001E-2</v>
      </c>
    </row>
    <row r="437" spans="1:19" x14ac:dyDescent="0.3">
      <c r="A437" t="s">
        <v>937</v>
      </c>
      <c r="B437" t="s">
        <v>938</v>
      </c>
      <c r="C437" t="s">
        <v>36</v>
      </c>
      <c r="D437" t="s">
        <v>20</v>
      </c>
      <c r="E437">
        <v>31</v>
      </c>
      <c r="F437" t="s">
        <v>58</v>
      </c>
      <c r="G437" t="s">
        <v>59</v>
      </c>
      <c r="H437" t="s">
        <v>33</v>
      </c>
      <c r="I437">
        <v>4</v>
      </c>
      <c r="J437" s="1">
        <v>75</v>
      </c>
      <c r="K437" t="s">
        <v>2068</v>
      </c>
      <c r="L437" t="s">
        <v>2066</v>
      </c>
      <c r="M437">
        <v>1.1000000000000001</v>
      </c>
      <c r="N437" t="b">
        <v>1</v>
      </c>
      <c r="O437" t="s">
        <v>2076</v>
      </c>
      <c r="P437">
        <v>0.64</v>
      </c>
      <c r="Q437" s="2">
        <v>0.64</v>
      </c>
      <c r="S437" s="5">
        <v>8.5333333333333407E-3</v>
      </c>
    </row>
    <row r="438" spans="1:19" x14ac:dyDescent="0.3">
      <c r="A438" t="s">
        <v>939</v>
      </c>
      <c r="B438" t="s">
        <v>940</v>
      </c>
      <c r="C438" t="s">
        <v>15</v>
      </c>
      <c r="D438" t="s">
        <v>20</v>
      </c>
      <c r="E438">
        <v>53</v>
      </c>
      <c r="F438" t="s">
        <v>58</v>
      </c>
      <c r="G438" t="s">
        <v>59</v>
      </c>
      <c r="H438" t="s">
        <v>66</v>
      </c>
      <c r="I438">
        <v>5</v>
      </c>
      <c r="J438" s="1">
        <v>75</v>
      </c>
      <c r="K438" t="s">
        <v>2066</v>
      </c>
      <c r="M438">
        <v>1.1000000000000001</v>
      </c>
      <c r="N438">
        <v>0</v>
      </c>
      <c r="O438" t="s">
        <v>2077</v>
      </c>
      <c r="P438">
        <v>92</v>
      </c>
      <c r="Q438" s="2">
        <v>0.92</v>
      </c>
      <c r="R438">
        <v>0.92</v>
      </c>
      <c r="S438" s="5">
        <v>1.22666666666667E-2</v>
      </c>
    </row>
    <row r="439" spans="1:19" x14ac:dyDescent="0.3">
      <c r="A439" t="s">
        <v>941</v>
      </c>
      <c r="B439" t="s">
        <v>942</v>
      </c>
      <c r="C439" t="s">
        <v>15</v>
      </c>
      <c r="D439" t="s">
        <v>20</v>
      </c>
      <c r="E439">
        <v>40</v>
      </c>
      <c r="F439" t="s">
        <v>31</v>
      </c>
      <c r="G439" t="s">
        <v>32</v>
      </c>
      <c r="H439" t="s">
        <v>33</v>
      </c>
      <c r="I439">
        <v>2</v>
      </c>
      <c r="J439" s="1">
        <v>75</v>
      </c>
      <c r="K439" t="s">
        <v>2066</v>
      </c>
      <c r="M439">
        <v>4.5</v>
      </c>
      <c r="N439" t="s">
        <v>19</v>
      </c>
      <c r="O439" t="s">
        <v>2076</v>
      </c>
    </row>
    <row r="440" spans="1:19" x14ac:dyDescent="0.3">
      <c r="A440" t="s">
        <v>943</v>
      </c>
      <c r="B440" t="s">
        <v>944</v>
      </c>
      <c r="C440" t="s">
        <v>15</v>
      </c>
      <c r="D440" t="s">
        <v>20</v>
      </c>
      <c r="E440">
        <v>29</v>
      </c>
      <c r="F440" t="s">
        <v>42</v>
      </c>
      <c r="G440" t="s">
        <v>43</v>
      </c>
      <c r="H440" t="s">
        <v>33</v>
      </c>
      <c r="I440">
        <v>4</v>
      </c>
      <c r="J440" s="1">
        <v>30</v>
      </c>
      <c r="K440" t="s">
        <v>2069</v>
      </c>
      <c r="M440">
        <v>0</v>
      </c>
      <c r="N440" t="s">
        <v>96</v>
      </c>
      <c r="O440" t="s">
        <v>2076</v>
      </c>
      <c r="P440">
        <v>0.82</v>
      </c>
      <c r="Q440" s="2">
        <v>0.82</v>
      </c>
      <c r="S440" s="5">
        <v>2.73333333333333E-2</v>
      </c>
    </row>
    <row r="441" spans="1:19" x14ac:dyDescent="0.3">
      <c r="A441" t="s">
        <v>945</v>
      </c>
      <c r="B441" t="s">
        <v>946</v>
      </c>
      <c r="C441" t="s">
        <v>15</v>
      </c>
      <c r="D441" t="s">
        <v>20</v>
      </c>
      <c r="E441">
        <v>48</v>
      </c>
      <c r="F441" t="s">
        <v>118</v>
      </c>
      <c r="G441" t="s">
        <v>119</v>
      </c>
      <c r="H441" t="s">
        <v>47</v>
      </c>
      <c r="I441">
        <v>18</v>
      </c>
      <c r="J441" s="1">
        <v>40</v>
      </c>
      <c r="K441" t="s">
        <v>2068</v>
      </c>
      <c r="L441" t="s">
        <v>2067</v>
      </c>
      <c r="N441">
        <v>1</v>
      </c>
      <c r="O441" t="s">
        <v>2076</v>
      </c>
      <c r="P441">
        <v>0.88</v>
      </c>
      <c r="Q441" s="2">
        <v>0.88</v>
      </c>
      <c r="S441" s="5">
        <v>2.1999999999999999E-2</v>
      </c>
    </row>
    <row r="442" spans="1:19" x14ac:dyDescent="0.3">
      <c r="A442" t="s">
        <v>947</v>
      </c>
      <c r="B442" t="s">
        <v>948</v>
      </c>
      <c r="C442" t="s">
        <v>15</v>
      </c>
      <c r="D442" t="s">
        <v>20</v>
      </c>
      <c r="E442">
        <v>22</v>
      </c>
      <c r="F442" t="s">
        <v>31</v>
      </c>
      <c r="G442" t="s">
        <v>32</v>
      </c>
      <c r="H442" t="s">
        <v>60</v>
      </c>
      <c r="I442">
        <v>0</v>
      </c>
      <c r="J442" s="1">
        <v>40</v>
      </c>
      <c r="K442" t="s">
        <v>2067</v>
      </c>
      <c r="M442">
        <v>1.3</v>
      </c>
      <c r="N442">
        <v>1</v>
      </c>
      <c r="O442" t="s">
        <v>2076</v>
      </c>
      <c r="P442">
        <v>0.78</v>
      </c>
      <c r="Q442" s="2">
        <v>0.78</v>
      </c>
      <c r="S442" s="5">
        <v>1.95E-2</v>
      </c>
    </row>
    <row r="443" spans="1:19" x14ac:dyDescent="0.3">
      <c r="A443" t="s">
        <v>949</v>
      </c>
      <c r="B443" t="s">
        <v>950</v>
      </c>
      <c r="C443" t="s">
        <v>111</v>
      </c>
      <c r="D443" t="s">
        <v>80</v>
      </c>
      <c r="E443">
        <v>54</v>
      </c>
      <c r="F443" t="s">
        <v>139</v>
      </c>
      <c r="G443" t="s">
        <v>59</v>
      </c>
      <c r="H443" t="s">
        <v>52</v>
      </c>
      <c r="I443">
        <v>19</v>
      </c>
      <c r="J443" s="1">
        <v>75</v>
      </c>
      <c r="K443" t="s">
        <v>2066</v>
      </c>
      <c r="M443">
        <v>0</v>
      </c>
    </row>
    <row r="444" spans="1:19" x14ac:dyDescent="0.3">
      <c r="A444" t="s">
        <v>951</v>
      </c>
      <c r="B444" t="s">
        <v>952</v>
      </c>
      <c r="C444" t="s">
        <v>111</v>
      </c>
      <c r="D444" t="s">
        <v>80</v>
      </c>
      <c r="E444">
        <v>25</v>
      </c>
      <c r="F444" t="s">
        <v>46</v>
      </c>
      <c r="G444" t="s">
        <v>17</v>
      </c>
      <c r="H444" t="s">
        <v>39</v>
      </c>
      <c r="I444">
        <v>1</v>
      </c>
      <c r="J444" s="1">
        <v>75</v>
      </c>
      <c r="K444" t="s">
        <v>2066</v>
      </c>
      <c r="M444">
        <v>0</v>
      </c>
      <c r="N444">
        <v>1</v>
      </c>
      <c r="O444" t="s">
        <v>2076</v>
      </c>
    </row>
    <row r="445" spans="1:19" x14ac:dyDescent="0.3">
      <c r="A445" t="s">
        <v>953</v>
      </c>
      <c r="B445" t="s">
        <v>954</v>
      </c>
      <c r="C445" t="s">
        <v>76</v>
      </c>
      <c r="D445" t="s">
        <v>80</v>
      </c>
      <c r="E445">
        <v>20</v>
      </c>
      <c r="F445" t="s">
        <v>155</v>
      </c>
      <c r="G445" t="s">
        <v>17</v>
      </c>
      <c r="H445" t="s">
        <v>18</v>
      </c>
      <c r="I445">
        <v>0</v>
      </c>
      <c r="J445" s="1">
        <v>75</v>
      </c>
      <c r="K445" t="s">
        <v>2066</v>
      </c>
      <c r="M445">
        <v>3.2</v>
      </c>
      <c r="N445">
        <v>1</v>
      </c>
      <c r="O445" t="s">
        <v>2076</v>
      </c>
      <c r="P445">
        <v>0.74</v>
      </c>
      <c r="Q445" s="2">
        <v>0.74</v>
      </c>
      <c r="S445" s="5">
        <v>9.8666666666666607E-3</v>
      </c>
    </row>
    <row r="446" spans="1:19" x14ac:dyDescent="0.3">
      <c r="A446" t="s">
        <v>955</v>
      </c>
      <c r="B446" t="s">
        <v>956</v>
      </c>
      <c r="C446" t="s">
        <v>76</v>
      </c>
      <c r="D446" t="s">
        <v>80</v>
      </c>
      <c r="E446">
        <v>52</v>
      </c>
      <c r="F446" t="s">
        <v>91</v>
      </c>
      <c r="G446" t="s">
        <v>59</v>
      </c>
      <c r="H446" t="s">
        <v>60</v>
      </c>
      <c r="I446">
        <v>22</v>
      </c>
      <c r="J446" s="1">
        <v>20</v>
      </c>
      <c r="K446" t="s">
        <v>2065</v>
      </c>
      <c r="L446" t="s">
        <v>2072</v>
      </c>
      <c r="M446">
        <v>0</v>
      </c>
      <c r="N446">
        <v>0</v>
      </c>
      <c r="O446" t="s">
        <v>2077</v>
      </c>
    </row>
    <row r="447" spans="1:19" x14ac:dyDescent="0.3">
      <c r="A447" t="s">
        <v>957</v>
      </c>
      <c r="B447" t="s">
        <v>958</v>
      </c>
      <c r="C447" t="s">
        <v>76</v>
      </c>
      <c r="D447" t="s">
        <v>80</v>
      </c>
      <c r="E447">
        <v>58</v>
      </c>
      <c r="F447" t="s">
        <v>37</v>
      </c>
      <c r="G447" t="s">
        <v>38</v>
      </c>
      <c r="H447" t="s">
        <v>79</v>
      </c>
      <c r="I447">
        <v>17</v>
      </c>
      <c r="J447" s="1">
        <v>50</v>
      </c>
      <c r="K447" t="s">
        <v>2065</v>
      </c>
      <c r="L447" t="s">
        <v>2071</v>
      </c>
      <c r="M447">
        <v>2.6</v>
      </c>
      <c r="N447">
        <v>1</v>
      </c>
      <c r="O447" t="s">
        <v>2076</v>
      </c>
      <c r="P447">
        <v>0.61</v>
      </c>
      <c r="Q447" s="2">
        <v>0.61</v>
      </c>
      <c r="S447" s="5">
        <v>1.2200000000000001E-2</v>
      </c>
    </row>
    <row r="448" spans="1:19" x14ac:dyDescent="0.3">
      <c r="A448" t="s">
        <v>959</v>
      </c>
      <c r="B448" t="s">
        <v>960</v>
      </c>
      <c r="C448" t="s">
        <v>76</v>
      </c>
      <c r="D448" t="s">
        <v>80</v>
      </c>
      <c r="E448">
        <v>23</v>
      </c>
      <c r="F448" t="s">
        <v>46</v>
      </c>
      <c r="G448" t="s">
        <v>17</v>
      </c>
      <c r="H448" t="s">
        <v>63</v>
      </c>
      <c r="I448">
        <v>0</v>
      </c>
      <c r="J448" s="1">
        <v>75</v>
      </c>
      <c r="K448" t="s">
        <v>2066</v>
      </c>
      <c r="M448">
        <v>0</v>
      </c>
      <c r="N448" t="s">
        <v>67</v>
      </c>
      <c r="O448" t="s">
        <v>2077</v>
      </c>
      <c r="P448">
        <v>0.92</v>
      </c>
      <c r="Q448" s="2">
        <v>0.92</v>
      </c>
      <c r="S448" s="5">
        <v>1.22666666666667E-2</v>
      </c>
    </row>
    <row r="449" spans="1:19" x14ac:dyDescent="0.3">
      <c r="A449" t="s">
        <v>961</v>
      </c>
      <c r="B449" t="s">
        <v>962</v>
      </c>
      <c r="C449" t="s">
        <v>111</v>
      </c>
      <c r="D449" t="s">
        <v>80</v>
      </c>
      <c r="E449">
        <v>36</v>
      </c>
      <c r="F449" t="s">
        <v>46</v>
      </c>
      <c r="G449" t="s">
        <v>17</v>
      </c>
      <c r="H449" t="s">
        <v>52</v>
      </c>
      <c r="I449">
        <v>16</v>
      </c>
      <c r="J449" s="1">
        <v>20</v>
      </c>
      <c r="K449" t="s">
        <v>2068</v>
      </c>
      <c r="L449" t="s">
        <v>2072</v>
      </c>
      <c r="M449">
        <v>3.2</v>
      </c>
    </row>
    <row r="450" spans="1:19" x14ac:dyDescent="0.3">
      <c r="A450" t="s">
        <v>963</v>
      </c>
      <c r="B450" t="s">
        <v>964</v>
      </c>
      <c r="C450" t="s">
        <v>76</v>
      </c>
      <c r="D450" t="s">
        <v>80</v>
      </c>
      <c r="E450">
        <v>47</v>
      </c>
      <c r="F450" t="s">
        <v>158</v>
      </c>
      <c r="G450" t="s">
        <v>159</v>
      </c>
      <c r="H450" t="s">
        <v>52</v>
      </c>
      <c r="I450">
        <v>5</v>
      </c>
      <c r="J450" s="1">
        <v>20</v>
      </c>
      <c r="K450" t="s">
        <v>2072</v>
      </c>
      <c r="M450">
        <v>1.9</v>
      </c>
      <c r="N450">
        <v>0</v>
      </c>
      <c r="O450" t="s">
        <v>2077</v>
      </c>
    </row>
    <row r="451" spans="1:19" x14ac:dyDescent="0.3">
      <c r="A451" t="s">
        <v>965</v>
      </c>
      <c r="B451" t="s">
        <v>966</v>
      </c>
      <c r="C451" t="s">
        <v>76</v>
      </c>
      <c r="D451" t="s">
        <v>80</v>
      </c>
      <c r="E451">
        <v>54</v>
      </c>
      <c r="F451" t="s">
        <v>139</v>
      </c>
      <c r="G451" t="s">
        <v>59</v>
      </c>
      <c r="H451" t="s">
        <v>39</v>
      </c>
      <c r="I451">
        <v>32</v>
      </c>
      <c r="J451" s="1">
        <v>75</v>
      </c>
      <c r="K451" t="s">
        <v>2066</v>
      </c>
      <c r="M451">
        <v>1</v>
      </c>
      <c r="N451" t="s">
        <v>19</v>
      </c>
      <c r="O451" t="s">
        <v>2076</v>
      </c>
      <c r="P451">
        <v>0.81</v>
      </c>
      <c r="Q451" s="2">
        <v>0.81</v>
      </c>
      <c r="S451" s="5">
        <v>1.0800000000000001E-2</v>
      </c>
    </row>
    <row r="452" spans="1:19" x14ac:dyDescent="0.3">
      <c r="A452" t="s">
        <v>967</v>
      </c>
      <c r="B452" t="s">
        <v>968</v>
      </c>
      <c r="C452" t="s">
        <v>76</v>
      </c>
      <c r="D452" t="s">
        <v>80</v>
      </c>
      <c r="E452">
        <v>32</v>
      </c>
      <c r="F452" t="s">
        <v>155</v>
      </c>
      <c r="G452" t="s">
        <v>17</v>
      </c>
      <c r="H452" t="s">
        <v>108</v>
      </c>
      <c r="I452">
        <v>5</v>
      </c>
      <c r="J452" s="1">
        <v>30</v>
      </c>
      <c r="K452" t="s">
        <v>2065</v>
      </c>
      <c r="L452" t="s">
        <v>2069</v>
      </c>
      <c r="N452">
        <v>0</v>
      </c>
      <c r="O452" t="s">
        <v>2077</v>
      </c>
      <c r="P452">
        <v>0.86</v>
      </c>
      <c r="Q452" s="2">
        <v>0.86</v>
      </c>
      <c r="S452" s="5">
        <v>2.8666666666666701E-2</v>
      </c>
    </row>
    <row r="453" spans="1:19" x14ac:dyDescent="0.3">
      <c r="A453" t="s">
        <v>969</v>
      </c>
      <c r="B453" t="s">
        <v>970</v>
      </c>
      <c r="C453" t="s">
        <v>111</v>
      </c>
      <c r="D453" t="s">
        <v>80</v>
      </c>
      <c r="E453">
        <v>47</v>
      </c>
      <c r="F453" t="s">
        <v>254</v>
      </c>
      <c r="G453" t="s">
        <v>255</v>
      </c>
      <c r="H453" t="s">
        <v>60</v>
      </c>
      <c r="I453">
        <v>12</v>
      </c>
      <c r="J453" s="1">
        <v>50</v>
      </c>
      <c r="K453" t="s">
        <v>2071</v>
      </c>
      <c r="M453">
        <v>2.1</v>
      </c>
      <c r="N453" t="b">
        <v>1</v>
      </c>
      <c r="O453" t="s">
        <v>2076</v>
      </c>
      <c r="P453">
        <v>0.67</v>
      </c>
      <c r="Q453" s="2">
        <v>0.67</v>
      </c>
      <c r="S453" s="5">
        <v>1.34E-2</v>
      </c>
    </row>
    <row r="454" spans="1:19" x14ac:dyDescent="0.3">
      <c r="A454" t="s">
        <v>971</v>
      </c>
      <c r="B454" t="s">
        <v>972</v>
      </c>
      <c r="C454" t="s">
        <v>76</v>
      </c>
      <c r="D454" t="s">
        <v>80</v>
      </c>
      <c r="E454">
        <v>25</v>
      </c>
      <c r="F454" t="s">
        <v>42</v>
      </c>
      <c r="G454" t="s">
        <v>43</v>
      </c>
      <c r="H454" t="s">
        <v>108</v>
      </c>
      <c r="I454">
        <v>6</v>
      </c>
      <c r="J454" s="1">
        <v>20</v>
      </c>
      <c r="K454" t="s">
        <v>2072</v>
      </c>
      <c r="M454">
        <v>2.1</v>
      </c>
      <c r="N454" t="s">
        <v>67</v>
      </c>
      <c r="O454" t="s">
        <v>2077</v>
      </c>
    </row>
    <row r="455" spans="1:19" x14ac:dyDescent="0.3">
      <c r="A455" t="s">
        <v>973</v>
      </c>
      <c r="B455" t="s">
        <v>974</v>
      </c>
      <c r="C455" t="s">
        <v>36</v>
      </c>
      <c r="D455" t="s">
        <v>20</v>
      </c>
      <c r="E455">
        <v>42</v>
      </c>
      <c r="F455" t="s">
        <v>254</v>
      </c>
      <c r="G455" t="s">
        <v>255</v>
      </c>
      <c r="H455" t="s">
        <v>66</v>
      </c>
      <c r="I455">
        <v>10</v>
      </c>
      <c r="J455" s="1">
        <v>100</v>
      </c>
      <c r="K455" t="s">
        <v>2068</v>
      </c>
      <c r="L455" t="s">
        <v>2070</v>
      </c>
      <c r="M455">
        <v>4.5999999999999996</v>
      </c>
      <c r="N455" t="s">
        <v>96</v>
      </c>
      <c r="O455" t="s">
        <v>2076</v>
      </c>
      <c r="P455">
        <v>0.71</v>
      </c>
      <c r="Q455" s="2">
        <v>0.71</v>
      </c>
      <c r="S455" s="5">
        <v>7.1000000000000004E-3</v>
      </c>
    </row>
    <row r="456" spans="1:19" x14ac:dyDescent="0.3">
      <c r="A456" t="s">
        <v>975</v>
      </c>
      <c r="B456" t="s">
        <v>976</v>
      </c>
      <c r="C456" t="s">
        <v>15</v>
      </c>
      <c r="D456" t="s">
        <v>20</v>
      </c>
      <c r="E456">
        <v>53</v>
      </c>
      <c r="F456" t="s">
        <v>83</v>
      </c>
      <c r="G456" t="s">
        <v>84</v>
      </c>
      <c r="H456" t="s">
        <v>52</v>
      </c>
      <c r="I456">
        <v>35</v>
      </c>
      <c r="M456">
        <v>5</v>
      </c>
      <c r="N456">
        <v>1</v>
      </c>
      <c r="O456" t="s">
        <v>2076</v>
      </c>
      <c r="P456">
        <v>0.62</v>
      </c>
      <c r="Q456" s="2">
        <v>0.62</v>
      </c>
    </row>
    <row r="457" spans="1:19" x14ac:dyDescent="0.3">
      <c r="A457" t="s">
        <v>977</v>
      </c>
      <c r="B457" t="s">
        <v>978</v>
      </c>
      <c r="C457" t="s">
        <v>111</v>
      </c>
      <c r="D457" t="s">
        <v>80</v>
      </c>
      <c r="E457">
        <v>25</v>
      </c>
      <c r="F457" t="s">
        <v>16</v>
      </c>
      <c r="G457" t="s">
        <v>17</v>
      </c>
      <c r="H457" t="s">
        <v>108</v>
      </c>
      <c r="I457">
        <v>2</v>
      </c>
      <c r="J457" s="1">
        <v>100</v>
      </c>
      <c r="K457" t="s">
        <v>2070</v>
      </c>
      <c r="M457">
        <v>2.5</v>
      </c>
      <c r="N457" t="s">
        <v>67</v>
      </c>
      <c r="O457" t="s">
        <v>2077</v>
      </c>
      <c r="P457">
        <v>87</v>
      </c>
      <c r="Q457" s="2">
        <v>0.87</v>
      </c>
      <c r="R457">
        <v>0.87</v>
      </c>
      <c r="S457" s="5">
        <v>8.6999999999999994E-3</v>
      </c>
    </row>
    <row r="458" spans="1:19" x14ac:dyDescent="0.3">
      <c r="A458" t="s">
        <v>979</v>
      </c>
      <c r="B458" t="s">
        <v>980</v>
      </c>
      <c r="C458" t="s">
        <v>15</v>
      </c>
      <c r="D458" t="s">
        <v>20</v>
      </c>
      <c r="E458">
        <v>46</v>
      </c>
      <c r="F458" t="s">
        <v>50</v>
      </c>
      <c r="G458" t="s">
        <v>51</v>
      </c>
      <c r="H458" t="s">
        <v>52</v>
      </c>
      <c r="I458">
        <v>8</v>
      </c>
      <c r="J458" s="1">
        <v>20</v>
      </c>
      <c r="K458" t="s">
        <v>2072</v>
      </c>
      <c r="M458">
        <v>2.2000000000000002</v>
      </c>
      <c r="P458">
        <v>89</v>
      </c>
      <c r="Q458" s="2">
        <v>0.89</v>
      </c>
      <c r="R458">
        <v>0.89</v>
      </c>
      <c r="S458" s="5">
        <v>4.4499999999999998E-2</v>
      </c>
    </row>
    <row r="459" spans="1:19" x14ac:dyDescent="0.3">
      <c r="A459" t="s">
        <v>981</v>
      </c>
      <c r="B459" t="s">
        <v>982</v>
      </c>
      <c r="C459" t="s">
        <v>36</v>
      </c>
      <c r="D459" t="s">
        <v>20</v>
      </c>
      <c r="F459" t="s">
        <v>16</v>
      </c>
      <c r="G459" t="s">
        <v>17</v>
      </c>
      <c r="H459" t="s">
        <v>63</v>
      </c>
      <c r="I459">
        <v>1</v>
      </c>
      <c r="J459" s="1">
        <v>30</v>
      </c>
      <c r="K459" t="s">
        <v>2069</v>
      </c>
      <c r="M459">
        <v>0</v>
      </c>
      <c r="N459">
        <v>0</v>
      </c>
      <c r="O459" t="s">
        <v>2077</v>
      </c>
      <c r="P459">
        <v>0.68</v>
      </c>
      <c r="Q459" s="2">
        <v>0.68</v>
      </c>
      <c r="S459" s="5">
        <v>2.26666666666667E-2</v>
      </c>
    </row>
    <row r="460" spans="1:19" x14ac:dyDescent="0.3">
      <c r="A460" t="s">
        <v>983</v>
      </c>
      <c r="B460" t="s">
        <v>984</v>
      </c>
      <c r="C460" t="s">
        <v>111</v>
      </c>
      <c r="D460" t="s">
        <v>80</v>
      </c>
      <c r="E460">
        <v>48</v>
      </c>
      <c r="F460" t="s">
        <v>188</v>
      </c>
      <c r="G460" t="s">
        <v>189</v>
      </c>
      <c r="H460" t="s">
        <v>33</v>
      </c>
      <c r="I460">
        <v>21</v>
      </c>
      <c r="J460" s="1">
        <v>40</v>
      </c>
      <c r="K460" t="s">
        <v>2067</v>
      </c>
      <c r="M460">
        <v>2.2999999999999998</v>
      </c>
      <c r="N460">
        <v>0</v>
      </c>
      <c r="O460" t="s">
        <v>2077</v>
      </c>
    </row>
    <row r="461" spans="1:19" x14ac:dyDescent="0.3">
      <c r="A461" t="s">
        <v>985</v>
      </c>
      <c r="B461" t="s">
        <v>986</v>
      </c>
      <c r="C461" t="s">
        <v>15</v>
      </c>
      <c r="D461" t="s">
        <v>20</v>
      </c>
      <c r="E461">
        <v>33</v>
      </c>
      <c r="F461" t="s">
        <v>50</v>
      </c>
      <c r="G461" t="s">
        <v>51</v>
      </c>
      <c r="H461" t="s">
        <v>39</v>
      </c>
      <c r="I461">
        <v>2</v>
      </c>
      <c r="J461" s="1">
        <v>75</v>
      </c>
      <c r="K461" t="s">
        <v>2066</v>
      </c>
      <c r="M461">
        <v>2.5</v>
      </c>
      <c r="N461" t="b">
        <v>0</v>
      </c>
      <c r="O461" t="s">
        <v>2077</v>
      </c>
      <c r="P461">
        <v>0.65</v>
      </c>
      <c r="Q461" s="2">
        <v>0.65</v>
      </c>
      <c r="S461" s="5">
        <v>8.6666666666666593E-3</v>
      </c>
    </row>
    <row r="462" spans="1:19" x14ac:dyDescent="0.3">
      <c r="A462" t="s">
        <v>987</v>
      </c>
      <c r="B462" t="s">
        <v>988</v>
      </c>
      <c r="C462" t="s">
        <v>36</v>
      </c>
      <c r="D462" t="s">
        <v>20</v>
      </c>
      <c r="E462">
        <v>46</v>
      </c>
      <c r="F462" t="s">
        <v>118</v>
      </c>
      <c r="G462" t="s">
        <v>119</v>
      </c>
      <c r="H462" t="s">
        <v>47</v>
      </c>
      <c r="I462">
        <v>20</v>
      </c>
      <c r="M462">
        <v>4.8</v>
      </c>
      <c r="N462">
        <v>1</v>
      </c>
      <c r="O462" t="s">
        <v>2076</v>
      </c>
      <c r="P462">
        <v>0.82</v>
      </c>
      <c r="Q462" s="2">
        <v>0.82</v>
      </c>
    </row>
    <row r="463" spans="1:19" x14ac:dyDescent="0.3">
      <c r="A463" t="s">
        <v>989</v>
      </c>
      <c r="B463" t="s">
        <v>990</v>
      </c>
      <c r="C463" t="s">
        <v>36</v>
      </c>
      <c r="D463" t="s">
        <v>20</v>
      </c>
      <c r="E463">
        <v>27</v>
      </c>
      <c r="F463" t="s">
        <v>58</v>
      </c>
      <c r="G463" t="s">
        <v>59</v>
      </c>
      <c r="H463" t="s">
        <v>108</v>
      </c>
      <c r="I463">
        <v>3</v>
      </c>
      <c r="J463" s="1">
        <v>50</v>
      </c>
      <c r="K463" t="s">
        <v>2068</v>
      </c>
      <c r="L463" t="s">
        <v>2071</v>
      </c>
      <c r="N463" t="b">
        <v>0</v>
      </c>
      <c r="O463" t="s">
        <v>2077</v>
      </c>
    </row>
    <row r="464" spans="1:19" x14ac:dyDescent="0.3">
      <c r="A464" t="s">
        <v>991</v>
      </c>
      <c r="B464" t="s">
        <v>992</v>
      </c>
      <c r="C464" t="s">
        <v>15</v>
      </c>
      <c r="D464" t="s">
        <v>20</v>
      </c>
      <c r="E464">
        <v>42</v>
      </c>
      <c r="F464" t="s">
        <v>139</v>
      </c>
      <c r="G464" t="s">
        <v>59</v>
      </c>
      <c r="H464" t="s">
        <v>63</v>
      </c>
      <c r="I464">
        <v>14</v>
      </c>
      <c r="J464" s="1">
        <v>30</v>
      </c>
      <c r="K464" t="s">
        <v>2065</v>
      </c>
      <c r="L464" t="s">
        <v>2069</v>
      </c>
      <c r="M464">
        <v>1.3</v>
      </c>
      <c r="N464">
        <v>0</v>
      </c>
      <c r="O464" t="s">
        <v>2077</v>
      </c>
      <c r="P464">
        <v>0.94</v>
      </c>
      <c r="Q464" s="2">
        <v>0.94</v>
      </c>
      <c r="S464" s="5">
        <v>3.1333333333333303E-2</v>
      </c>
    </row>
    <row r="465" spans="1:19" x14ac:dyDescent="0.3">
      <c r="A465" t="s">
        <v>993</v>
      </c>
      <c r="B465" t="s">
        <v>994</v>
      </c>
      <c r="C465" t="s">
        <v>36</v>
      </c>
      <c r="D465" t="s">
        <v>20</v>
      </c>
      <c r="E465">
        <v>60</v>
      </c>
      <c r="F465" t="s">
        <v>77</v>
      </c>
      <c r="G465" t="s">
        <v>78</v>
      </c>
      <c r="H465" t="s">
        <v>33</v>
      </c>
      <c r="I465">
        <v>24</v>
      </c>
      <c r="J465" s="1">
        <v>40</v>
      </c>
      <c r="K465" t="s">
        <v>2068</v>
      </c>
      <c r="L465" t="s">
        <v>2067</v>
      </c>
      <c r="M465">
        <v>3.1</v>
      </c>
      <c r="N465">
        <v>0</v>
      </c>
      <c r="O465" t="s">
        <v>2077</v>
      </c>
      <c r="P465">
        <v>0.69</v>
      </c>
      <c r="Q465" s="2">
        <v>0.69</v>
      </c>
      <c r="S465" s="5">
        <v>1.7250000000000001E-2</v>
      </c>
    </row>
    <row r="466" spans="1:19" x14ac:dyDescent="0.3">
      <c r="A466" t="s">
        <v>995</v>
      </c>
      <c r="B466" t="s">
        <v>996</v>
      </c>
      <c r="C466" t="s">
        <v>15</v>
      </c>
      <c r="D466" t="s">
        <v>20</v>
      </c>
      <c r="E466">
        <v>22</v>
      </c>
      <c r="F466" t="s">
        <v>104</v>
      </c>
      <c r="G466" t="s">
        <v>105</v>
      </c>
      <c r="H466" t="s">
        <v>60</v>
      </c>
      <c r="I466">
        <v>1</v>
      </c>
      <c r="J466" s="1">
        <v>40</v>
      </c>
      <c r="K466" t="s">
        <v>2067</v>
      </c>
      <c r="M466">
        <v>0</v>
      </c>
      <c r="N466">
        <v>0</v>
      </c>
      <c r="O466" t="s">
        <v>2077</v>
      </c>
      <c r="P466">
        <v>0.63</v>
      </c>
      <c r="Q466" s="2">
        <v>0.63</v>
      </c>
      <c r="S466" s="5">
        <v>1.575E-2</v>
      </c>
    </row>
    <row r="467" spans="1:19" x14ac:dyDescent="0.3">
      <c r="A467" t="s">
        <v>997</v>
      </c>
      <c r="B467" t="s">
        <v>998</v>
      </c>
      <c r="C467" t="s">
        <v>15</v>
      </c>
      <c r="D467" t="s">
        <v>20</v>
      </c>
      <c r="E467">
        <v>22</v>
      </c>
      <c r="F467" t="s">
        <v>155</v>
      </c>
      <c r="G467" t="s">
        <v>17</v>
      </c>
      <c r="H467" t="s">
        <v>47</v>
      </c>
      <c r="I467">
        <v>1</v>
      </c>
      <c r="J467" s="1">
        <v>20</v>
      </c>
      <c r="K467" t="s">
        <v>2068</v>
      </c>
      <c r="L467" t="s">
        <v>2072</v>
      </c>
      <c r="N467" t="s">
        <v>19</v>
      </c>
      <c r="O467" t="s">
        <v>2076</v>
      </c>
      <c r="P467">
        <v>0.75</v>
      </c>
      <c r="Q467" s="2">
        <v>0.75</v>
      </c>
      <c r="S467" s="5">
        <v>3.7499999999999999E-2</v>
      </c>
    </row>
    <row r="468" spans="1:19" x14ac:dyDescent="0.3">
      <c r="A468" t="s">
        <v>999</v>
      </c>
      <c r="B468" t="s">
        <v>1000</v>
      </c>
      <c r="C468" t="s">
        <v>15</v>
      </c>
      <c r="D468" t="s">
        <v>20</v>
      </c>
      <c r="E468">
        <v>59</v>
      </c>
      <c r="F468" t="s">
        <v>58</v>
      </c>
      <c r="G468" t="s">
        <v>59</v>
      </c>
      <c r="H468" t="s">
        <v>66</v>
      </c>
      <c r="I468">
        <v>15</v>
      </c>
      <c r="J468" s="1">
        <v>50</v>
      </c>
      <c r="K468" t="s">
        <v>2065</v>
      </c>
      <c r="L468" t="s">
        <v>2071</v>
      </c>
      <c r="N468" t="s">
        <v>67</v>
      </c>
      <c r="O468" t="s">
        <v>2077</v>
      </c>
    </row>
    <row r="469" spans="1:19" x14ac:dyDescent="0.3">
      <c r="A469" t="s">
        <v>1001</v>
      </c>
      <c r="B469" t="s">
        <v>1002</v>
      </c>
      <c r="C469" t="s">
        <v>15</v>
      </c>
      <c r="D469" t="s">
        <v>20</v>
      </c>
      <c r="E469">
        <v>42</v>
      </c>
      <c r="F469" t="s">
        <v>50</v>
      </c>
      <c r="G469" t="s">
        <v>51</v>
      </c>
      <c r="H469" t="s">
        <v>39</v>
      </c>
      <c r="I469">
        <v>7</v>
      </c>
      <c r="J469" s="1">
        <v>20</v>
      </c>
      <c r="K469" t="s">
        <v>2068</v>
      </c>
      <c r="L469" t="s">
        <v>2072</v>
      </c>
      <c r="N469" t="b">
        <v>0</v>
      </c>
      <c r="O469" t="s">
        <v>2077</v>
      </c>
      <c r="P469">
        <v>1</v>
      </c>
      <c r="Q469" s="2">
        <v>1</v>
      </c>
      <c r="S469" s="5">
        <v>0.05</v>
      </c>
    </row>
    <row r="470" spans="1:19" x14ac:dyDescent="0.3">
      <c r="A470" t="s">
        <v>1003</v>
      </c>
      <c r="B470" t="s">
        <v>1004</v>
      </c>
      <c r="C470" t="s">
        <v>15</v>
      </c>
      <c r="D470" t="s">
        <v>20</v>
      </c>
      <c r="E470">
        <v>54</v>
      </c>
      <c r="F470" t="s">
        <v>58</v>
      </c>
      <c r="G470" t="s">
        <v>59</v>
      </c>
      <c r="H470" t="s">
        <v>63</v>
      </c>
      <c r="I470">
        <v>20</v>
      </c>
      <c r="J470" s="1">
        <v>50</v>
      </c>
      <c r="K470" t="s">
        <v>2071</v>
      </c>
      <c r="M470">
        <v>4.4000000000000004</v>
      </c>
      <c r="N470">
        <v>0</v>
      </c>
      <c r="O470" t="s">
        <v>2077</v>
      </c>
      <c r="P470">
        <v>73</v>
      </c>
      <c r="Q470" s="2">
        <v>0.73</v>
      </c>
      <c r="R470">
        <v>0.73</v>
      </c>
      <c r="S470" s="5">
        <v>1.46E-2</v>
      </c>
    </row>
    <row r="471" spans="1:19" x14ac:dyDescent="0.3">
      <c r="A471" t="s">
        <v>1005</v>
      </c>
      <c r="B471" t="s">
        <v>1006</v>
      </c>
      <c r="C471" t="s">
        <v>15</v>
      </c>
      <c r="D471" t="s">
        <v>20</v>
      </c>
      <c r="E471">
        <v>26</v>
      </c>
      <c r="F471" t="s">
        <v>155</v>
      </c>
      <c r="G471" t="s">
        <v>17</v>
      </c>
      <c r="H471" t="s">
        <v>39</v>
      </c>
      <c r="I471">
        <v>8</v>
      </c>
      <c r="J471" s="1">
        <v>40</v>
      </c>
      <c r="K471" t="s">
        <v>2067</v>
      </c>
      <c r="M471">
        <v>4.9000000000000004</v>
      </c>
      <c r="N471" t="s">
        <v>53</v>
      </c>
      <c r="O471" t="s">
        <v>2077</v>
      </c>
      <c r="P471">
        <v>0.87</v>
      </c>
      <c r="Q471" s="2">
        <v>0.87</v>
      </c>
      <c r="S471" s="5">
        <v>2.1749999999999999E-2</v>
      </c>
    </row>
    <row r="472" spans="1:19" x14ac:dyDescent="0.3">
      <c r="A472" t="s">
        <v>1007</v>
      </c>
      <c r="B472" t="s">
        <v>1008</v>
      </c>
      <c r="C472" t="s">
        <v>15</v>
      </c>
      <c r="D472" t="s">
        <v>20</v>
      </c>
      <c r="E472">
        <v>30</v>
      </c>
      <c r="F472" t="s">
        <v>31</v>
      </c>
      <c r="G472" t="s">
        <v>32</v>
      </c>
      <c r="H472" t="s">
        <v>66</v>
      </c>
      <c r="J472" s="1">
        <v>100</v>
      </c>
      <c r="K472" t="s">
        <v>2065</v>
      </c>
      <c r="L472" t="s">
        <v>2070</v>
      </c>
      <c r="M472">
        <v>4.5</v>
      </c>
      <c r="P472">
        <v>0.78</v>
      </c>
      <c r="Q472" s="2">
        <v>0.78</v>
      </c>
      <c r="S472" s="5">
        <v>7.7999999999999996E-3</v>
      </c>
    </row>
    <row r="473" spans="1:19" x14ac:dyDescent="0.3">
      <c r="A473" t="s">
        <v>1009</v>
      </c>
      <c r="B473" t="s">
        <v>1010</v>
      </c>
      <c r="C473" t="s">
        <v>15</v>
      </c>
      <c r="D473" t="s">
        <v>20</v>
      </c>
      <c r="E473">
        <v>22</v>
      </c>
      <c r="F473" t="s">
        <v>50</v>
      </c>
      <c r="G473" t="s">
        <v>51</v>
      </c>
      <c r="H473" t="s">
        <v>108</v>
      </c>
      <c r="I473">
        <v>3</v>
      </c>
      <c r="J473" s="1">
        <v>75</v>
      </c>
      <c r="K473" t="s">
        <v>2066</v>
      </c>
      <c r="M473">
        <v>3.4</v>
      </c>
      <c r="N473" t="s">
        <v>96</v>
      </c>
      <c r="O473" t="s">
        <v>2076</v>
      </c>
      <c r="P473">
        <v>0.65</v>
      </c>
      <c r="Q473" s="2">
        <v>0.65</v>
      </c>
      <c r="S473" s="5">
        <v>8.6666666666666593E-3</v>
      </c>
    </row>
    <row r="474" spans="1:19" x14ac:dyDescent="0.3">
      <c r="A474" t="s">
        <v>1011</v>
      </c>
      <c r="B474" t="s">
        <v>1012</v>
      </c>
      <c r="C474" t="s">
        <v>36</v>
      </c>
      <c r="D474" t="s">
        <v>20</v>
      </c>
      <c r="E474">
        <v>46</v>
      </c>
      <c r="F474" t="s">
        <v>50</v>
      </c>
      <c r="G474" t="s">
        <v>51</v>
      </c>
      <c r="H474" t="s">
        <v>47</v>
      </c>
      <c r="I474">
        <v>22</v>
      </c>
      <c r="J474" s="1">
        <v>100</v>
      </c>
      <c r="K474" t="s">
        <v>2070</v>
      </c>
      <c r="M474">
        <v>2.8</v>
      </c>
      <c r="N474" t="s">
        <v>19</v>
      </c>
      <c r="O474" t="s">
        <v>2076</v>
      </c>
      <c r="P474">
        <v>97</v>
      </c>
      <c r="Q474" s="2">
        <v>0.97</v>
      </c>
      <c r="R474">
        <v>0.97</v>
      </c>
      <c r="S474" s="5">
        <v>9.7000000000000003E-3</v>
      </c>
    </row>
    <row r="475" spans="1:19" x14ac:dyDescent="0.3">
      <c r="A475" t="s">
        <v>1013</v>
      </c>
      <c r="B475" t="s">
        <v>1014</v>
      </c>
      <c r="C475" t="s">
        <v>36</v>
      </c>
      <c r="D475" t="s">
        <v>20</v>
      </c>
      <c r="E475">
        <v>57</v>
      </c>
      <c r="F475" t="s">
        <v>118</v>
      </c>
      <c r="G475" t="s">
        <v>119</v>
      </c>
      <c r="H475" t="s">
        <v>39</v>
      </c>
      <c r="I475">
        <v>5</v>
      </c>
      <c r="J475" s="1">
        <v>75</v>
      </c>
      <c r="K475" t="s">
        <v>2066</v>
      </c>
      <c r="M475">
        <v>1.1000000000000001</v>
      </c>
      <c r="N475" t="b">
        <v>1</v>
      </c>
      <c r="O475" t="s">
        <v>2076</v>
      </c>
      <c r="P475">
        <v>0.77</v>
      </c>
      <c r="Q475" s="2">
        <v>0.77</v>
      </c>
      <c r="S475" s="5">
        <v>1.02666666666667E-2</v>
      </c>
    </row>
    <row r="476" spans="1:19" x14ac:dyDescent="0.3">
      <c r="A476" t="s">
        <v>1015</v>
      </c>
      <c r="B476" t="s">
        <v>1016</v>
      </c>
      <c r="C476" t="s">
        <v>15</v>
      </c>
      <c r="D476" t="s">
        <v>20</v>
      </c>
      <c r="E476">
        <v>51</v>
      </c>
      <c r="F476" t="s">
        <v>91</v>
      </c>
      <c r="G476" t="s">
        <v>59</v>
      </c>
      <c r="H476" t="s">
        <v>66</v>
      </c>
      <c r="I476">
        <v>4</v>
      </c>
      <c r="J476" s="1">
        <v>50</v>
      </c>
      <c r="K476" t="s">
        <v>2068</v>
      </c>
      <c r="L476" t="s">
        <v>2071</v>
      </c>
      <c r="M476">
        <v>2</v>
      </c>
      <c r="N476" t="s">
        <v>67</v>
      </c>
      <c r="O476" t="s">
        <v>2077</v>
      </c>
      <c r="P476">
        <v>0.92</v>
      </c>
      <c r="Q476" s="2">
        <v>0.92</v>
      </c>
      <c r="S476" s="5">
        <v>1.84E-2</v>
      </c>
    </row>
    <row r="477" spans="1:19" x14ac:dyDescent="0.3">
      <c r="A477" t="s">
        <v>1017</v>
      </c>
      <c r="B477" t="s">
        <v>1018</v>
      </c>
      <c r="C477" t="s">
        <v>36</v>
      </c>
      <c r="D477" t="s">
        <v>20</v>
      </c>
      <c r="E477">
        <v>60</v>
      </c>
      <c r="F477" t="s">
        <v>42</v>
      </c>
      <c r="G477" t="s">
        <v>43</v>
      </c>
      <c r="H477" t="s">
        <v>52</v>
      </c>
      <c r="I477">
        <v>33</v>
      </c>
      <c r="J477" s="1">
        <v>40</v>
      </c>
      <c r="K477" t="s">
        <v>2067</v>
      </c>
      <c r="M477">
        <v>3.6</v>
      </c>
      <c r="N477">
        <v>1</v>
      </c>
      <c r="O477" t="s">
        <v>2076</v>
      </c>
      <c r="P477">
        <v>0.87</v>
      </c>
      <c r="Q477" s="2">
        <v>0.87</v>
      </c>
      <c r="S477" s="5">
        <v>2.1749999999999999E-2</v>
      </c>
    </row>
    <row r="478" spans="1:19" x14ac:dyDescent="0.3">
      <c r="A478" t="s">
        <v>1019</v>
      </c>
      <c r="B478" t="s">
        <v>1020</v>
      </c>
      <c r="C478" t="s">
        <v>36</v>
      </c>
      <c r="D478" t="s">
        <v>20</v>
      </c>
      <c r="E478">
        <v>25</v>
      </c>
      <c r="F478" t="s">
        <v>118</v>
      </c>
      <c r="G478" t="s">
        <v>119</v>
      </c>
      <c r="H478" t="s">
        <v>66</v>
      </c>
      <c r="I478">
        <v>7</v>
      </c>
      <c r="J478" s="1">
        <v>20</v>
      </c>
      <c r="K478" t="s">
        <v>2065</v>
      </c>
      <c r="L478" t="s">
        <v>2072</v>
      </c>
      <c r="M478">
        <v>3.8</v>
      </c>
      <c r="P478">
        <v>0.97</v>
      </c>
      <c r="Q478" s="2">
        <v>0.97</v>
      </c>
      <c r="S478" s="5">
        <v>4.8500000000000001E-2</v>
      </c>
    </row>
    <row r="479" spans="1:19" x14ac:dyDescent="0.3">
      <c r="A479" t="s">
        <v>1021</v>
      </c>
      <c r="B479" t="s">
        <v>1022</v>
      </c>
      <c r="C479" t="s">
        <v>15</v>
      </c>
      <c r="D479" t="s">
        <v>20</v>
      </c>
      <c r="E479">
        <v>20</v>
      </c>
      <c r="F479" t="s">
        <v>23</v>
      </c>
      <c r="G479" t="s">
        <v>24</v>
      </c>
      <c r="H479" t="s">
        <v>60</v>
      </c>
      <c r="I479">
        <v>2</v>
      </c>
      <c r="J479" s="1">
        <v>30</v>
      </c>
      <c r="K479" t="s">
        <v>2069</v>
      </c>
      <c r="N479">
        <v>1</v>
      </c>
      <c r="O479" t="s">
        <v>2076</v>
      </c>
      <c r="P479">
        <v>0.99</v>
      </c>
      <c r="Q479" s="2">
        <v>0.99</v>
      </c>
      <c r="S479" s="5">
        <v>3.3000000000000002E-2</v>
      </c>
    </row>
    <row r="480" spans="1:19" x14ac:dyDescent="0.3">
      <c r="A480" t="s">
        <v>1023</v>
      </c>
      <c r="B480" t="s">
        <v>1024</v>
      </c>
      <c r="C480" t="s">
        <v>36</v>
      </c>
      <c r="D480" t="s">
        <v>20</v>
      </c>
      <c r="E480">
        <v>60</v>
      </c>
      <c r="F480" t="s">
        <v>158</v>
      </c>
      <c r="G480" t="s">
        <v>159</v>
      </c>
      <c r="H480" t="s">
        <v>66</v>
      </c>
      <c r="I480">
        <v>40</v>
      </c>
      <c r="J480" s="1">
        <v>50</v>
      </c>
      <c r="K480" t="s">
        <v>2071</v>
      </c>
      <c r="M480">
        <v>4.5999999999999996</v>
      </c>
      <c r="N480" t="b">
        <v>1</v>
      </c>
      <c r="O480" t="s">
        <v>2076</v>
      </c>
      <c r="P480">
        <v>1</v>
      </c>
      <c r="Q480" s="2">
        <v>1</v>
      </c>
      <c r="S480" s="5">
        <v>0.02</v>
      </c>
    </row>
    <row r="481" spans="1:19" x14ac:dyDescent="0.3">
      <c r="A481" t="s">
        <v>1025</v>
      </c>
      <c r="B481" t="s">
        <v>1026</v>
      </c>
      <c r="C481" t="s">
        <v>36</v>
      </c>
      <c r="D481" t="s">
        <v>20</v>
      </c>
      <c r="E481">
        <v>32</v>
      </c>
      <c r="F481" t="s">
        <v>83</v>
      </c>
      <c r="G481" t="s">
        <v>84</v>
      </c>
      <c r="H481" t="s">
        <v>79</v>
      </c>
      <c r="I481">
        <v>1</v>
      </c>
      <c r="J481" s="1">
        <v>40</v>
      </c>
      <c r="K481" t="s">
        <v>2065</v>
      </c>
      <c r="L481" t="s">
        <v>2067</v>
      </c>
      <c r="M481">
        <v>3.1</v>
      </c>
      <c r="N481">
        <v>1</v>
      </c>
      <c r="O481" t="s">
        <v>2076</v>
      </c>
      <c r="P481">
        <v>0.76</v>
      </c>
      <c r="Q481" s="2">
        <v>0.76</v>
      </c>
      <c r="S481" s="5">
        <v>1.9E-2</v>
      </c>
    </row>
    <row r="482" spans="1:19" x14ac:dyDescent="0.3">
      <c r="A482" t="s">
        <v>1027</v>
      </c>
      <c r="B482" t="s">
        <v>1028</v>
      </c>
      <c r="C482" t="s">
        <v>15</v>
      </c>
      <c r="D482" t="s">
        <v>20</v>
      </c>
      <c r="E482">
        <v>38</v>
      </c>
      <c r="F482" t="s">
        <v>23</v>
      </c>
      <c r="G482" t="s">
        <v>24</v>
      </c>
      <c r="H482" t="s">
        <v>52</v>
      </c>
      <c r="I482">
        <v>1</v>
      </c>
      <c r="J482" s="1">
        <v>40</v>
      </c>
      <c r="K482" t="s">
        <v>2068</v>
      </c>
      <c r="L482" t="s">
        <v>2067</v>
      </c>
      <c r="M482">
        <v>0</v>
      </c>
      <c r="N482">
        <v>0</v>
      </c>
      <c r="O482" t="s">
        <v>2077</v>
      </c>
      <c r="P482">
        <v>0.96</v>
      </c>
      <c r="Q482" s="2">
        <v>0.96</v>
      </c>
      <c r="S482" s="5">
        <v>2.4E-2</v>
      </c>
    </row>
    <row r="483" spans="1:19" x14ac:dyDescent="0.3">
      <c r="A483" t="s">
        <v>1029</v>
      </c>
      <c r="B483" t="s">
        <v>1030</v>
      </c>
      <c r="C483" t="s">
        <v>15</v>
      </c>
      <c r="D483" t="s">
        <v>20</v>
      </c>
      <c r="E483">
        <v>27</v>
      </c>
      <c r="F483" t="s">
        <v>101</v>
      </c>
      <c r="G483" t="s">
        <v>59</v>
      </c>
      <c r="H483" t="s">
        <v>47</v>
      </c>
      <c r="I483">
        <v>7</v>
      </c>
      <c r="J483" s="1">
        <v>20</v>
      </c>
      <c r="K483" t="s">
        <v>2068</v>
      </c>
      <c r="L483" t="s">
        <v>2072</v>
      </c>
      <c r="M483">
        <v>3.2</v>
      </c>
      <c r="N483">
        <v>1</v>
      </c>
      <c r="O483" t="s">
        <v>2076</v>
      </c>
      <c r="P483">
        <v>0.62</v>
      </c>
      <c r="Q483" s="2">
        <v>0.62</v>
      </c>
      <c r="S483" s="5">
        <v>3.1E-2</v>
      </c>
    </row>
    <row r="484" spans="1:19" x14ac:dyDescent="0.3">
      <c r="A484" t="s">
        <v>1031</v>
      </c>
      <c r="B484" t="s">
        <v>1032</v>
      </c>
      <c r="C484" t="s">
        <v>36</v>
      </c>
      <c r="D484" t="s">
        <v>20</v>
      </c>
      <c r="E484">
        <v>58</v>
      </c>
      <c r="F484" t="s">
        <v>158</v>
      </c>
      <c r="G484" t="s">
        <v>159</v>
      </c>
      <c r="H484" t="s">
        <v>47</v>
      </c>
      <c r="I484">
        <v>9</v>
      </c>
      <c r="J484" s="1">
        <v>20</v>
      </c>
      <c r="K484" t="s">
        <v>2072</v>
      </c>
      <c r="M484">
        <v>0</v>
      </c>
      <c r="N484" t="s">
        <v>53</v>
      </c>
      <c r="O484" t="s">
        <v>2077</v>
      </c>
      <c r="P484">
        <v>0.65</v>
      </c>
      <c r="Q484" s="2">
        <v>0.65</v>
      </c>
      <c r="S484" s="5">
        <v>3.2500000000000001E-2</v>
      </c>
    </row>
    <row r="485" spans="1:19" x14ac:dyDescent="0.3">
      <c r="A485" t="s">
        <v>1033</v>
      </c>
      <c r="B485" t="s">
        <v>1034</v>
      </c>
      <c r="C485" t="s">
        <v>36</v>
      </c>
      <c r="D485" t="s">
        <v>20</v>
      </c>
      <c r="E485">
        <v>31</v>
      </c>
      <c r="F485" t="s">
        <v>27</v>
      </c>
      <c r="G485" t="s">
        <v>28</v>
      </c>
      <c r="H485" t="s">
        <v>60</v>
      </c>
      <c r="I485">
        <v>11</v>
      </c>
      <c r="J485" s="1">
        <v>50</v>
      </c>
      <c r="K485" t="s">
        <v>2071</v>
      </c>
      <c r="M485">
        <v>3.1</v>
      </c>
      <c r="N485" t="b">
        <v>0</v>
      </c>
      <c r="O485" t="s">
        <v>2077</v>
      </c>
      <c r="P485">
        <v>0.88</v>
      </c>
      <c r="Q485" s="2">
        <v>0.88</v>
      </c>
      <c r="S485" s="5">
        <v>1.7600000000000001E-2</v>
      </c>
    </row>
    <row r="486" spans="1:19" x14ac:dyDescent="0.3">
      <c r="A486" t="s">
        <v>1035</v>
      </c>
      <c r="B486" t="s">
        <v>1036</v>
      </c>
      <c r="C486" t="s">
        <v>36</v>
      </c>
      <c r="D486" t="s">
        <v>20</v>
      </c>
      <c r="E486">
        <v>24</v>
      </c>
      <c r="F486" t="s">
        <v>139</v>
      </c>
      <c r="G486" t="s">
        <v>59</v>
      </c>
      <c r="H486" t="s">
        <v>60</v>
      </c>
      <c r="I486">
        <v>4</v>
      </c>
      <c r="J486" s="1">
        <v>50</v>
      </c>
      <c r="K486" t="s">
        <v>2071</v>
      </c>
      <c r="M486">
        <v>3.1</v>
      </c>
      <c r="N486" t="b">
        <v>0</v>
      </c>
      <c r="O486" t="s">
        <v>2077</v>
      </c>
      <c r="P486">
        <v>0.95</v>
      </c>
      <c r="Q486" s="2">
        <v>0.95</v>
      </c>
      <c r="S486" s="5">
        <v>1.9E-2</v>
      </c>
    </row>
    <row r="487" spans="1:19" x14ac:dyDescent="0.3">
      <c r="A487" t="s">
        <v>1037</v>
      </c>
      <c r="B487" t="s">
        <v>1038</v>
      </c>
      <c r="C487" t="s">
        <v>15</v>
      </c>
      <c r="D487" t="s">
        <v>20</v>
      </c>
      <c r="E487">
        <v>59</v>
      </c>
      <c r="F487" t="s">
        <v>101</v>
      </c>
      <c r="G487" t="s">
        <v>59</v>
      </c>
      <c r="H487" t="s">
        <v>18</v>
      </c>
      <c r="I487">
        <v>4</v>
      </c>
      <c r="M487">
        <v>1.9</v>
      </c>
      <c r="N487" t="b">
        <v>0</v>
      </c>
      <c r="O487" t="s">
        <v>2077</v>
      </c>
      <c r="P487">
        <v>88</v>
      </c>
      <c r="Q487" s="2">
        <v>0.88</v>
      </c>
      <c r="R487">
        <v>0.88</v>
      </c>
    </row>
    <row r="488" spans="1:19" x14ac:dyDescent="0.3">
      <c r="A488" t="s">
        <v>1039</v>
      </c>
      <c r="B488" t="s">
        <v>1040</v>
      </c>
      <c r="C488" t="s">
        <v>36</v>
      </c>
      <c r="D488" t="s">
        <v>20</v>
      </c>
      <c r="E488">
        <v>35</v>
      </c>
      <c r="F488" t="s">
        <v>50</v>
      </c>
      <c r="G488" t="s">
        <v>51</v>
      </c>
      <c r="H488" t="s">
        <v>18</v>
      </c>
      <c r="I488">
        <v>3</v>
      </c>
      <c r="J488" s="1">
        <v>30</v>
      </c>
      <c r="K488" t="s">
        <v>2068</v>
      </c>
      <c r="L488" t="s">
        <v>2069</v>
      </c>
      <c r="M488">
        <v>3.8</v>
      </c>
      <c r="N488" t="s">
        <v>19</v>
      </c>
      <c r="O488" t="s">
        <v>2076</v>
      </c>
      <c r="P488">
        <v>0.81</v>
      </c>
      <c r="Q488" s="2">
        <v>0.81</v>
      </c>
      <c r="S488" s="5">
        <v>2.7E-2</v>
      </c>
    </row>
    <row r="489" spans="1:19" x14ac:dyDescent="0.3">
      <c r="A489" t="s">
        <v>1041</v>
      </c>
      <c r="B489" t="s">
        <v>1042</v>
      </c>
      <c r="C489" t="s">
        <v>36</v>
      </c>
      <c r="D489" t="s">
        <v>20</v>
      </c>
      <c r="E489">
        <v>27</v>
      </c>
      <c r="F489" t="s">
        <v>31</v>
      </c>
      <c r="G489" t="s">
        <v>32</v>
      </c>
      <c r="H489" t="s">
        <v>18</v>
      </c>
      <c r="I489">
        <v>4</v>
      </c>
      <c r="J489" s="1">
        <v>20</v>
      </c>
      <c r="K489" t="s">
        <v>2072</v>
      </c>
      <c r="N489">
        <v>0</v>
      </c>
      <c r="O489" t="s">
        <v>2077</v>
      </c>
      <c r="P489">
        <v>0.63</v>
      </c>
      <c r="Q489" s="2">
        <v>0.63</v>
      </c>
      <c r="S489" s="5">
        <v>3.15E-2</v>
      </c>
    </row>
    <row r="490" spans="1:19" x14ac:dyDescent="0.3">
      <c r="A490" t="s">
        <v>1043</v>
      </c>
      <c r="B490" t="s">
        <v>1044</v>
      </c>
      <c r="C490" t="s">
        <v>36</v>
      </c>
      <c r="D490" t="s">
        <v>20</v>
      </c>
      <c r="E490">
        <v>56</v>
      </c>
      <c r="F490" t="s">
        <v>254</v>
      </c>
      <c r="G490" t="s">
        <v>255</v>
      </c>
      <c r="H490" t="s">
        <v>47</v>
      </c>
      <c r="I490">
        <v>13</v>
      </c>
      <c r="J490" s="1">
        <v>40</v>
      </c>
      <c r="K490" t="s">
        <v>2068</v>
      </c>
      <c r="L490" t="s">
        <v>2067</v>
      </c>
      <c r="N490">
        <v>1</v>
      </c>
      <c r="O490" t="s">
        <v>2076</v>
      </c>
      <c r="P490">
        <v>0.87</v>
      </c>
      <c r="Q490" s="2">
        <v>0.87</v>
      </c>
      <c r="S490" s="5">
        <v>2.1749999999999999E-2</v>
      </c>
    </row>
    <row r="491" spans="1:19" x14ac:dyDescent="0.3">
      <c r="A491" t="s">
        <v>1045</v>
      </c>
      <c r="B491" t="s">
        <v>1046</v>
      </c>
      <c r="C491" t="s">
        <v>36</v>
      </c>
      <c r="D491" t="s">
        <v>20</v>
      </c>
      <c r="E491">
        <v>31</v>
      </c>
      <c r="F491" t="s">
        <v>158</v>
      </c>
      <c r="G491" t="s">
        <v>159</v>
      </c>
      <c r="H491" t="s">
        <v>79</v>
      </c>
      <c r="I491">
        <v>5</v>
      </c>
      <c r="M491">
        <v>2.7</v>
      </c>
      <c r="N491">
        <v>1</v>
      </c>
      <c r="O491" t="s">
        <v>2076</v>
      </c>
      <c r="P491">
        <v>94</v>
      </c>
      <c r="Q491" s="2">
        <v>0.94</v>
      </c>
      <c r="R491">
        <v>0.94</v>
      </c>
    </row>
    <row r="492" spans="1:19" x14ac:dyDescent="0.3">
      <c r="A492" t="s">
        <v>1047</v>
      </c>
      <c r="B492" t="s">
        <v>1048</v>
      </c>
      <c r="C492" t="s">
        <v>15</v>
      </c>
      <c r="D492" t="s">
        <v>20</v>
      </c>
      <c r="E492">
        <v>41</v>
      </c>
      <c r="F492" t="s">
        <v>83</v>
      </c>
      <c r="G492" t="s">
        <v>84</v>
      </c>
      <c r="H492" t="s">
        <v>39</v>
      </c>
      <c r="I492">
        <v>11</v>
      </c>
      <c r="J492" s="1">
        <v>20</v>
      </c>
      <c r="K492" t="s">
        <v>2065</v>
      </c>
      <c r="L492" t="s">
        <v>2072</v>
      </c>
      <c r="M492">
        <v>4.7</v>
      </c>
      <c r="P492">
        <v>0.69</v>
      </c>
      <c r="Q492" s="2">
        <v>0.69</v>
      </c>
      <c r="S492" s="5">
        <v>3.4500000000000003E-2</v>
      </c>
    </row>
    <row r="493" spans="1:19" x14ac:dyDescent="0.3">
      <c r="A493" t="s">
        <v>1049</v>
      </c>
      <c r="B493" t="s">
        <v>1050</v>
      </c>
      <c r="C493" t="s">
        <v>36</v>
      </c>
      <c r="D493" t="s">
        <v>20</v>
      </c>
      <c r="E493">
        <v>52</v>
      </c>
      <c r="F493" t="s">
        <v>155</v>
      </c>
      <c r="G493" t="s">
        <v>17</v>
      </c>
      <c r="H493" t="s">
        <v>47</v>
      </c>
      <c r="I493">
        <v>12</v>
      </c>
      <c r="J493" s="1">
        <v>40</v>
      </c>
      <c r="K493" t="s">
        <v>2067</v>
      </c>
      <c r="M493">
        <v>1.2</v>
      </c>
      <c r="N493">
        <v>0</v>
      </c>
      <c r="O493" t="s">
        <v>2077</v>
      </c>
      <c r="P493">
        <v>0.76</v>
      </c>
      <c r="Q493" s="2">
        <v>0.76</v>
      </c>
      <c r="S493" s="5">
        <v>1.9E-2</v>
      </c>
    </row>
    <row r="494" spans="1:19" x14ac:dyDescent="0.3">
      <c r="A494" t="s">
        <v>1051</v>
      </c>
      <c r="B494" t="s">
        <v>1052</v>
      </c>
      <c r="C494" t="s">
        <v>15</v>
      </c>
      <c r="D494" t="s">
        <v>20</v>
      </c>
      <c r="E494">
        <v>46</v>
      </c>
      <c r="F494" t="s">
        <v>31</v>
      </c>
      <c r="G494" t="s">
        <v>32</v>
      </c>
      <c r="H494" t="s">
        <v>63</v>
      </c>
      <c r="I494">
        <v>0</v>
      </c>
      <c r="M494">
        <v>1.8</v>
      </c>
      <c r="N494" t="s">
        <v>53</v>
      </c>
      <c r="O494" t="s">
        <v>2077</v>
      </c>
      <c r="P494">
        <v>0.88</v>
      </c>
      <c r="Q494" s="2">
        <v>0.88</v>
      </c>
    </row>
    <row r="495" spans="1:19" x14ac:dyDescent="0.3">
      <c r="A495" t="s">
        <v>1053</v>
      </c>
      <c r="B495" t="s">
        <v>1054</v>
      </c>
      <c r="C495" t="s">
        <v>15</v>
      </c>
      <c r="D495" t="s">
        <v>20</v>
      </c>
      <c r="E495">
        <v>54</v>
      </c>
      <c r="F495" t="s">
        <v>16</v>
      </c>
      <c r="G495" t="s">
        <v>17</v>
      </c>
      <c r="H495" t="s">
        <v>18</v>
      </c>
      <c r="I495">
        <v>3</v>
      </c>
      <c r="J495" s="1">
        <v>20</v>
      </c>
      <c r="K495" t="s">
        <v>2072</v>
      </c>
      <c r="M495">
        <v>1.6</v>
      </c>
      <c r="N495" t="s">
        <v>96</v>
      </c>
      <c r="O495" t="s">
        <v>2076</v>
      </c>
      <c r="P495">
        <v>0.7</v>
      </c>
      <c r="Q495" s="2">
        <v>0.7</v>
      </c>
      <c r="S495" s="5">
        <v>3.5000000000000003E-2</v>
      </c>
    </row>
    <row r="496" spans="1:19" x14ac:dyDescent="0.3">
      <c r="A496" t="s">
        <v>1055</v>
      </c>
      <c r="B496" t="s">
        <v>1056</v>
      </c>
      <c r="C496" t="s">
        <v>36</v>
      </c>
      <c r="D496" t="s">
        <v>20</v>
      </c>
      <c r="E496">
        <v>36</v>
      </c>
      <c r="F496" t="s">
        <v>42</v>
      </c>
      <c r="G496" t="s">
        <v>43</v>
      </c>
      <c r="H496" t="s">
        <v>79</v>
      </c>
      <c r="I496">
        <v>6</v>
      </c>
      <c r="J496" s="1">
        <v>20</v>
      </c>
      <c r="K496" t="s">
        <v>2072</v>
      </c>
      <c r="M496">
        <v>1</v>
      </c>
      <c r="N496" t="s">
        <v>96</v>
      </c>
      <c r="O496" t="s">
        <v>2076</v>
      </c>
      <c r="P496">
        <v>0.64</v>
      </c>
      <c r="Q496" s="2">
        <v>0.64</v>
      </c>
      <c r="S496" s="5">
        <v>3.2000000000000001E-2</v>
      </c>
    </row>
    <row r="497" spans="1:19" x14ac:dyDescent="0.3">
      <c r="A497" t="s">
        <v>1057</v>
      </c>
      <c r="B497" t="s">
        <v>1058</v>
      </c>
      <c r="C497" t="s">
        <v>15</v>
      </c>
      <c r="D497" t="s">
        <v>20</v>
      </c>
      <c r="E497">
        <v>50</v>
      </c>
      <c r="F497" t="s">
        <v>101</v>
      </c>
      <c r="G497" t="s">
        <v>59</v>
      </c>
      <c r="H497" t="s">
        <v>18</v>
      </c>
      <c r="I497">
        <v>17</v>
      </c>
      <c r="J497" s="1">
        <v>75</v>
      </c>
      <c r="K497" t="s">
        <v>2066</v>
      </c>
      <c r="M497">
        <v>3.3</v>
      </c>
      <c r="N497">
        <v>1</v>
      </c>
      <c r="O497" t="s">
        <v>2076</v>
      </c>
      <c r="P497">
        <v>0.69</v>
      </c>
      <c r="Q497" s="2">
        <v>0.69</v>
      </c>
      <c r="S497" s="5">
        <v>9.1999999999999998E-3</v>
      </c>
    </row>
    <row r="498" spans="1:19" x14ac:dyDescent="0.3">
      <c r="A498" t="s">
        <v>1059</v>
      </c>
      <c r="B498" t="s">
        <v>1060</v>
      </c>
      <c r="C498" t="s">
        <v>36</v>
      </c>
      <c r="D498" t="s">
        <v>20</v>
      </c>
      <c r="E498">
        <v>52</v>
      </c>
      <c r="F498" t="s">
        <v>155</v>
      </c>
      <c r="G498" t="s">
        <v>17</v>
      </c>
      <c r="H498" t="s">
        <v>79</v>
      </c>
      <c r="I498">
        <v>30</v>
      </c>
      <c r="J498" s="1">
        <v>100</v>
      </c>
      <c r="K498" t="s">
        <v>2068</v>
      </c>
      <c r="L498" t="s">
        <v>2070</v>
      </c>
      <c r="M498">
        <v>2.5</v>
      </c>
      <c r="P498">
        <v>61</v>
      </c>
      <c r="Q498" s="2">
        <v>0.61</v>
      </c>
      <c r="R498">
        <v>0.61</v>
      </c>
      <c r="S498" s="5">
        <v>6.1000000000000004E-3</v>
      </c>
    </row>
    <row r="499" spans="1:19" x14ac:dyDescent="0.3">
      <c r="A499" t="s">
        <v>1061</v>
      </c>
      <c r="B499" t="s">
        <v>1062</v>
      </c>
      <c r="C499" t="s">
        <v>15</v>
      </c>
      <c r="D499" t="s">
        <v>20</v>
      </c>
      <c r="E499">
        <v>26</v>
      </c>
      <c r="F499" t="s">
        <v>155</v>
      </c>
      <c r="G499" t="s">
        <v>17</v>
      </c>
      <c r="H499" t="s">
        <v>63</v>
      </c>
      <c r="I499">
        <v>5</v>
      </c>
      <c r="J499" s="1">
        <v>50</v>
      </c>
      <c r="K499" t="s">
        <v>2071</v>
      </c>
      <c r="M499">
        <v>0</v>
      </c>
      <c r="N499" t="s">
        <v>53</v>
      </c>
      <c r="O499" t="s">
        <v>2077</v>
      </c>
    </row>
    <row r="500" spans="1:19" x14ac:dyDescent="0.3">
      <c r="A500" t="s">
        <v>1063</v>
      </c>
      <c r="B500" t="s">
        <v>1064</v>
      </c>
      <c r="C500" t="s">
        <v>15</v>
      </c>
      <c r="D500" t="s">
        <v>20</v>
      </c>
      <c r="E500">
        <v>30</v>
      </c>
      <c r="F500" t="s">
        <v>101</v>
      </c>
      <c r="G500" t="s">
        <v>59</v>
      </c>
      <c r="H500" t="s">
        <v>63</v>
      </c>
      <c r="I500">
        <v>11</v>
      </c>
      <c r="J500" s="1">
        <v>30</v>
      </c>
      <c r="K500" t="s">
        <v>2065</v>
      </c>
      <c r="L500" t="s">
        <v>2069</v>
      </c>
      <c r="M500">
        <v>4.2</v>
      </c>
      <c r="N500">
        <v>0</v>
      </c>
      <c r="O500" t="s">
        <v>2077</v>
      </c>
      <c r="P500">
        <v>0.65</v>
      </c>
      <c r="Q500" s="2">
        <v>0.65</v>
      </c>
      <c r="S500" s="5">
        <v>2.1666666666666699E-2</v>
      </c>
    </row>
    <row r="501" spans="1:19" x14ac:dyDescent="0.3">
      <c r="A501" t="s">
        <v>1065</v>
      </c>
      <c r="B501" t="s">
        <v>1066</v>
      </c>
      <c r="C501" t="s">
        <v>15</v>
      </c>
      <c r="D501" t="s">
        <v>20</v>
      </c>
      <c r="E501">
        <v>51</v>
      </c>
      <c r="F501" t="s">
        <v>155</v>
      </c>
      <c r="G501" t="s">
        <v>17</v>
      </c>
      <c r="H501" t="s">
        <v>63</v>
      </c>
      <c r="I501">
        <v>22</v>
      </c>
      <c r="J501" s="1">
        <v>20</v>
      </c>
      <c r="K501" t="s">
        <v>2072</v>
      </c>
      <c r="M501">
        <v>3.4</v>
      </c>
      <c r="N501" t="b">
        <v>1</v>
      </c>
      <c r="O501" t="s">
        <v>2076</v>
      </c>
      <c r="P501">
        <v>90</v>
      </c>
      <c r="Q501" s="2">
        <v>0.9</v>
      </c>
      <c r="R501">
        <v>0.9</v>
      </c>
      <c r="S501" s="5">
        <v>4.4999999999999998E-2</v>
      </c>
    </row>
    <row r="502" spans="1:19" x14ac:dyDescent="0.3">
      <c r="A502" t="s">
        <v>1067</v>
      </c>
      <c r="B502" t="s">
        <v>1068</v>
      </c>
      <c r="C502" t="s">
        <v>15</v>
      </c>
      <c r="D502" t="s">
        <v>20</v>
      </c>
      <c r="E502">
        <v>59</v>
      </c>
      <c r="F502" t="s">
        <v>139</v>
      </c>
      <c r="G502" t="s">
        <v>59</v>
      </c>
      <c r="H502" t="s">
        <v>60</v>
      </c>
      <c r="I502">
        <v>17</v>
      </c>
      <c r="J502" s="1">
        <v>50</v>
      </c>
      <c r="K502" t="s">
        <v>2071</v>
      </c>
      <c r="M502">
        <v>1.4</v>
      </c>
      <c r="N502" t="s">
        <v>19</v>
      </c>
      <c r="O502" t="s">
        <v>2076</v>
      </c>
    </row>
    <row r="503" spans="1:19" x14ac:dyDescent="0.3">
      <c r="A503" t="s">
        <v>1069</v>
      </c>
      <c r="B503" t="s">
        <v>1070</v>
      </c>
      <c r="C503" t="s">
        <v>36</v>
      </c>
      <c r="D503" t="s">
        <v>20</v>
      </c>
      <c r="E503">
        <v>45</v>
      </c>
      <c r="F503" t="s">
        <v>139</v>
      </c>
      <c r="G503" t="s">
        <v>59</v>
      </c>
      <c r="H503" t="s">
        <v>79</v>
      </c>
      <c r="I503">
        <v>16</v>
      </c>
      <c r="J503" s="1">
        <v>100</v>
      </c>
      <c r="K503" t="s">
        <v>2070</v>
      </c>
      <c r="M503">
        <v>4.5999999999999996</v>
      </c>
      <c r="N503" t="s">
        <v>53</v>
      </c>
      <c r="O503" t="s">
        <v>2077</v>
      </c>
      <c r="P503">
        <v>0.78</v>
      </c>
      <c r="Q503" s="2">
        <v>0.78</v>
      </c>
      <c r="S503" s="5">
        <v>7.7999999999999996E-3</v>
      </c>
    </row>
    <row r="504" spans="1:19" x14ac:dyDescent="0.3">
      <c r="A504" t="s">
        <v>1071</v>
      </c>
      <c r="B504" t="s">
        <v>1072</v>
      </c>
      <c r="C504" t="s">
        <v>36</v>
      </c>
      <c r="D504" t="s">
        <v>20</v>
      </c>
      <c r="E504">
        <v>37</v>
      </c>
      <c r="F504" t="s">
        <v>254</v>
      </c>
      <c r="G504" t="s">
        <v>255</v>
      </c>
      <c r="H504" t="s">
        <v>66</v>
      </c>
      <c r="J504" s="1">
        <v>50</v>
      </c>
      <c r="K504" t="s">
        <v>2071</v>
      </c>
      <c r="M504">
        <v>4.5999999999999996</v>
      </c>
      <c r="N504">
        <v>0</v>
      </c>
      <c r="O504" t="s">
        <v>2077</v>
      </c>
      <c r="P504">
        <v>0.83</v>
      </c>
      <c r="Q504" s="2">
        <v>0.83</v>
      </c>
      <c r="S504" s="5">
        <v>1.66E-2</v>
      </c>
    </row>
    <row r="505" spans="1:19" x14ac:dyDescent="0.3">
      <c r="A505" t="s">
        <v>1073</v>
      </c>
      <c r="B505" t="s">
        <v>1074</v>
      </c>
      <c r="C505" t="s">
        <v>76</v>
      </c>
      <c r="D505" t="s">
        <v>80</v>
      </c>
      <c r="E505">
        <v>56</v>
      </c>
      <c r="F505" t="s">
        <v>23</v>
      </c>
      <c r="G505" t="s">
        <v>24</v>
      </c>
      <c r="H505" t="s">
        <v>47</v>
      </c>
      <c r="I505">
        <v>2</v>
      </c>
      <c r="J505" s="1">
        <v>30</v>
      </c>
      <c r="K505" t="s">
        <v>2069</v>
      </c>
      <c r="M505">
        <v>1.9</v>
      </c>
      <c r="N505">
        <v>1</v>
      </c>
      <c r="O505" t="s">
        <v>2076</v>
      </c>
      <c r="P505">
        <v>0.81</v>
      </c>
      <c r="Q505" s="2">
        <v>0.81</v>
      </c>
      <c r="S505" s="5">
        <v>2.7E-2</v>
      </c>
    </row>
    <row r="506" spans="1:19" x14ac:dyDescent="0.3">
      <c r="A506" t="s">
        <v>1075</v>
      </c>
      <c r="B506" t="s">
        <v>1076</v>
      </c>
      <c r="C506" t="s">
        <v>15</v>
      </c>
      <c r="D506" t="s">
        <v>20</v>
      </c>
      <c r="E506">
        <v>47</v>
      </c>
      <c r="F506" t="s">
        <v>42</v>
      </c>
      <c r="G506" t="s">
        <v>43</v>
      </c>
      <c r="H506" t="s">
        <v>63</v>
      </c>
      <c r="I506">
        <v>17</v>
      </c>
      <c r="J506" s="1">
        <v>50</v>
      </c>
      <c r="K506" t="s">
        <v>2071</v>
      </c>
      <c r="M506">
        <v>1.2</v>
      </c>
      <c r="N506" t="s">
        <v>53</v>
      </c>
      <c r="O506" t="s">
        <v>2077</v>
      </c>
    </row>
    <row r="507" spans="1:19" x14ac:dyDescent="0.3">
      <c r="A507" t="s">
        <v>1077</v>
      </c>
      <c r="B507" t="s">
        <v>1078</v>
      </c>
      <c r="C507" t="s">
        <v>15</v>
      </c>
      <c r="D507" t="s">
        <v>20</v>
      </c>
      <c r="E507">
        <v>56</v>
      </c>
      <c r="F507" t="s">
        <v>158</v>
      </c>
      <c r="G507" t="s">
        <v>159</v>
      </c>
      <c r="H507" t="s">
        <v>63</v>
      </c>
      <c r="I507">
        <v>18</v>
      </c>
      <c r="J507" s="1">
        <v>50</v>
      </c>
      <c r="K507" t="s">
        <v>2068</v>
      </c>
      <c r="L507" t="s">
        <v>2071</v>
      </c>
      <c r="M507">
        <v>4.4000000000000004</v>
      </c>
      <c r="N507" t="s">
        <v>96</v>
      </c>
      <c r="O507" t="s">
        <v>2076</v>
      </c>
      <c r="P507">
        <v>0.83</v>
      </c>
      <c r="Q507" s="2">
        <v>0.83</v>
      </c>
      <c r="S507" s="5">
        <v>1.66E-2</v>
      </c>
    </row>
    <row r="508" spans="1:19" x14ac:dyDescent="0.3">
      <c r="A508" t="s">
        <v>1079</v>
      </c>
      <c r="B508" t="s">
        <v>1080</v>
      </c>
      <c r="C508" t="s">
        <v>15</v>
      </c>
      <c r="D508" t="s">
        <v>20</v>
      </c>
      <c r="E508">
        <v>35</v>
      </c>
      <c r="F508" t="s">
        <v>104</v>
      </c>
      <c r="G508" t="s">
        <v>105</v>
      </c>
      <c r="H508" t="s">
        <v>18</v>
      </c>
      <c r="I508">
        <v>6</v>
      </c>
      <c r="J508" s="1">
        <v>75</v>
      </c>
      <c r="K508" t="s">
        <v>2068</v>
      </c>
      <c r="L508" t="s">
        <v>2066</v>
      </c>
      <c r="M508">
        <v>1.6</v>
      </c>
      <c r="N508">
        <v>1</v>
      </c>
      <c r="O508" t="s">
        <v>2076</v>
      </c>
      <c r="P508">
        <v>0.97</v>
      </c>
      <c r="Q508" s="2">
        <v>0.97</v>
      </c>
      <c r="S508" s="5">
        <v>1.29333333333333E-2</v>
      </c>
    </row>
    <row r="509" spans="1:19" x14ac:dyDescent="0.3">
      <c r="A509" t="s">
        <v>1081</v>
      </c>
      <c r="B509" t="s">
        <v>1082</v>
      </c>
      <c r="C509" t="s">
        <v>15</v>
      </c>
      <c r="D509" t="s">
        <v>20</v>
      </c>
      <c r="E509">
        <v>53</v>
      </c>
      <c r="F509" t="s">
        <v>27</v>
      </c>
      <c r="G509" t="s">
        <v>28</v>
      </c>
      <c r="H509" t="s">
        <v>79</v>
      </c>
      <c r="I509">
        <v>31</v>
      </c>
      <c r="J509" s="1">
        <v>50</v>
      </c>
      <c r="K509" t="s">
        <v>2071</v>
      </c>
      <c r="M509">
        <v>0</v>
      </c>
      <c r="N509" t="s">
        <v>53</v>
      </c>
      <c r="O509" t="s">
        <v>2077</v>
      </c>
      <c r="P509">
        <v>0.71</v>
      </c>
      <c r="Q509" s="2">
        <v>0.71</v>
      </c>
      <c r="S509" s="5">
        <v>1.4200000000000001E-2</v>
      </c>
    </row>
    <row r="510" spans="1:19" x14ac:dyDescent="0.3">
      <c r="A510" t="s">
        <v>1083</v>
      </c>
      <c r="B510" t="s">
        <v>1084</v>
      </c>
      <c r="C510" t="s">
        <v>76</v>
      </c>
      <c r="D510" t="s">
        <v>80</v>
      </c>
      <c r="E510">
        <v>22</v>
      </c>
      <c r="F510" t="s">
        <v>101</v>
      </c>
      <c r="G510" t="s">
        <v>59</v>
      </c>
      <c r="H510" t="s">
        <v>33</v>
      </c>
      <c r="I510">
        <v>2</v>
      </c>
      <c r="J510" s="1">
        <v>40</v>
      </c>
      <c r="K510" t="s">
        <v>2067</v>
      </c>
      <c r="M510">
        <v>1.1000000000000001</v>
      </c>
      <c r="N510" t="s">
        <v>67</v>
      </c>
      <c r="O510" t="s">
        <v>2077</v>
      </c>
      <c r="P510">
        <v>0.76</v>
      </c>
      <c r="Q510" s="2">
        <v>0.76</v>
      </c>
      <c r="S510" s="5">
        <v>1.9E-2</v>
      </c>
    </row>
    <row r="511" spans="1:19" x14ac:dyDescent="0.3">
      <c r="A511" t="s">
        <v>1085</v>
      </c>
      <c r="B511" t="s">
        <v>1086</v>
      </c>
      <c r="C511" t="s">
        <v>111</v>
      </c>
      <c r="D511" t="s">
        <v>80</v>
      </c>
      <c r="E511">
        <v>41</v>
      </c>
      <c r="F511" t="s">
        <v>158</v>
      </c>
      <c r="G511" t="s">
        <v>159</v>
      </c>
      <c r="H511" t="s">
        <v>47</v>
      </c>
      <c r="I511">
        <v>19</v>
      </c>
      <c r="J511" s="1">
        <v>100</v>
      </c>
      <c r="K511" t="s">
        <v>2070</v>
      </c>
      <c r="M511">
        <v>3.8</v>
      </c>
      <c r="N511" t="s">
        <v>19</v>
      </c>
      <c r="O511" t="s">
        <v>2076</v>
      </c>
      <c r="P511">
        <v>0.71</v>
      </c>
      <c r="Q511" s="2">
        <v>0.71</v>
      </c>
      <c r="S511" s="5">
        <v>7.1000000000000004E-3</v>
      </c>
    </row>
    <row r="512" spans="1:19" x14ac:dyDescent="0.3">
      <c r="A512" t="s">
        <v>1087</v>
      </c>
      <c r="B512" t="s">
        <v>1088</v>
      </c>
      <c r="C512" t="s">
        <v>111</v>
      </c>
      <c r="D512" t="s">
        <v>80</v>
      </c>
      <c r="E512">
        <v>23</v>
      </c>
      <c r="F512" t="s">
        <v>42</v>
      </c>
      <c r="G512" t="s">
        <v>43</v>
      </c>
      <c r="H512" t="s">
        <v>79</v>
      </c>
      <c r="I512">
        <v>2</v>
      </c>
      <c r="J512" s="1">
        <v>50</v>
      </c>
      <c r="K512" t="s">
        <v>2071</v>
      </c>
      <c r="M512">
        <v>3.2</v>
      </c>
      <c r="N512" t="b">
        <v>1</v>
      </c>
      <c r="O512" t="s">
        <v>2076</v>
      </c>
    </row>
    <row r="513" spans="1:19" x14ac:dyDescent="0.3">
      <c r="A513" t="s">
        <v>1089</v>
      </c>
      <c r="B513" t="s">
        <v>1090</v>
      </c>
      <c r="C513" t="s">
        <v>76</v>
      </c>
      <c r="D513" t="s">
        <v>80</v>
      </c>
      <c r="E513">
        <v>34</v>
      </c>
      <c r="F513" t="s">
        <v>87</v>
      </c>
      <c r="G513" t="s">
        <v>88</v>
      </c>
      <c r="H513" t="s">
        <v>47</v>
      </c>
      <c r="I513">
        <v>4</v>
      </c>
      <c r="J513" s="1">
        <v>30</v>
      </c>
      <c r="K513" t="s">
        <v>2065</v>
      </c>
      <c r="L513" t="s">
        <v>2069</v>
      </c>
      <c r="M513">
        <v>3.1</v>
      </c>
      <c r="P513">
        <v>0.9</v>
      </c>
      <c r="Q513" s="2">
        <v>0.9</v>
      </c>
      <c r="S513" s="5">
        <v>0.03</v>
      </c>
    </row>
    <row r="514" spans="1:19" x14ac:dyDescent="0.3">
      <c r="A514" t="s">
        <v>1091</v>
      </c>
      <c r="B514" t="s">
        <v>1092</v>
      </c>
      <c r="C514" t="s">
        <v>36</v>
      </c>
      <c r="D514" t="s">
        <v>20</v>
      </c>
      <c r="E514">
        <v>55</v>
      </c>
      <c r="F514" t="s">
        <v>83</v>
      </c>
      <c r="G514" t="s">
        <v>84</v>
      </c>
      <c r="H514" t="s">
        <v>63</v>
      </c>
      <c r="I514">
        <v>33</v>
      </c>
      <c r="J514" s="1">
        <v>50</v>
      </c>
      <c r="K514" t="s">
        <v>2071</v>
      </c>
      <c r="M514">
        <v>0</v>
      </c>
      <c r="N514" t="b">
        <v>0</v>
      </c>
      <c r="O514" t="s">
        <v>2077</v>
      </c>
      <c r="P514">
        <v>0.92</v>
      </c>
      <c r="Q514" s="2">
        <v>0.92</v>
      </c>
      <c r="S514" s="5">
        <v>1.84E-2</v>
      </c>
    </row>
    <row r="515" spans="1:19" x14ac:dyDescent="0.3">
      <c r="A515" t="s">
        <v>1093</v>
      </c>
      <c r="B515" t="s">
        <v>1094</v>
      </c>
      <c r="C515" t="s">
        <v>76</v>
      </c>
      <c r="D515" t="s">
        <v>80</v>
      </c>
      <c r="E515">
        <v>49</v>
      </c>
      <c r="F515" t="s">
        <v>118</v>
      </c>
      <c r="G515" t="s">
        <v>119</v>
      </c>
      <c r="H515" t="s">
        <v>47</v>
      </c>
      <c r="I515">
        <v>13</v>
      </c>
      <c r="J515" s="1">
        <v>100</v>
      </c>
      <c r="K515" t="s">
        <v>2065</v>
      </c>
      <c r="L515" t="s">
        <v>2070</v>
      </c>
      <c r="M515">
        <v>2.5</v>
      </c>
      <c r="N515" t="b">
        <v>0</v>
      </c>
      <c r="O515" t="s">
        <v>2077</v>
      </c>
    </row>
    <row r="516" spans="1:19" x14ac:dyDescent="0.3">
      <c r="A516" t="s">
        <v>1095</v>
      </c>
      <c r="B516" t="s">
        <v>1096</v>
      </c>
      <c r="C516" t="s">
        <v>76</v>
      </c>
      <c r="D516" t="s">
        <v>80</v>
      </c>
      <c r="E516">
        <v>21</v>
      </c>
      <c r="F516" t="s">
        <v>50</v>
      </c>
      <c r="G516" t="s">
        <v>51</v>
      </c>
      <c r="H516" t="s">
        <v>52</v>
      </c>
      <c r="I516">
        <v>3</v>
      </c>
      <c r="J516" s="1">
        <v>100</v>
      </c>
      <c r="K516" t="s">
        <v>2065</v>
      </c>
      <c r="L516" t="s">
        <v>2070</v>
      </c>
      <c r="M516">
        <v>4.7</v>
      </c>
      <c r="N516" t="s">
        <v>53</v>
      </c>
      <c r="O516" t="s">
        <v>2077</v>
      </c>
      <c r="P516">
        <v>0.96</v>
      </c>
      <c r="Q516" s="2">
        <v>0.96</v>
      </c>
      <c r="S516" s="5">
        <v>9.5999999999999992E-3</v>
      </c>
    </row>
    <row r="517" spans="1:19" x14ac:dyDescent="0.3">
      <c r="A517" t="s">
        <v>1097</v>
      </c>
      <c r="B517" t="s">
        <v>1098</v>
      </c>
      <c r="C517" t="s">
        <v>76</v>
      </c>
      <c r="D517" t="s">
        <v>80</v>
      </c>
      <c r="E517">
        <v>23</v>
      </c>
      <c r="F517" t="s">
        <v>46</v>
      </c>
      <c r="G517" t="s">
        <v>17</v>
      </c>
      <c r="H517" t="s">
        <v>60</v>
      </c>
      <c r="I517">
        <v>0</v>
      </c>
      <c r="J517" s="1">
        <v>75</v>
      </c>
      <c r="K517" t="s">
        <v>2066</v>
      </c>
      <c r="M517">
        <v>1.9</v>
      </c>
      <c r="N517" t="b">
        <v>1</v>
      </c>
      <c r="O517" t="s">
        <v>2076</v>
      </c>
      <c r="P517">
        <v>0.79</v>
      </c>
      <c r="Q517" s="2">
        <v>0.79</v>
      </c>
      <c r="S517" s="5">
        <v>1.0533333333333301E-2</v>
      </c>
    </row>
    <row r="518" spans="1:19" x14ac:dyDescent="0.3">
      <c r="A518" t="s">
        <v>1099</v>
      </c>
      <c r="B518" t="s">
        <v>1100</v>
      </c>
      <c r="C518" t="s">
        <v>111</v>
      </c>
      <c r="D518" t="s">
        <v>80</v>
      </c>
      <c r="E518">
        <v>22</v>
      </c>
      <c r="F518" t="s">
        <v>46</v>
      </c>
      <c r="G518" t="s">
        <v>17</v>
      </c>
      <c r="H518" t="s">
        <v>108</v>
      </c>
      <c r="I518">
        <v>2</v>
      </c>
      <c r="J518" s="1">
        <v>30</v>
      </c>
      <c r="K518" t="s">
        <v>2069</v>
      </c>
      <c r="M518">
        <v>2.1</v>
      </c>
    </row>
    <row r="519" spans="1:19" x14ac:dyDescent="0.3">
      <c r="A519" t="s">
        <v>1101</v>
      </c>
      <c r="B519" t="s">
        <v>1102</v>
      </c>
      <c r="C519" t="s">
        <v>15</v>
      </c>
      <c r="D519" t="s">
        <v>20</v>
      </c>
      <c r="E519">
        <v>54</v>
      </c>
      <c r="F519" t="s">
        <v>37</v>
      </c>
      <c r="G519" t="s">
        <v>38</v>
      </c>
      <c r="H519" t="s">
        <v>39</v>
      </c>
      <c r="I519">
        <v>0</v>
      </c>
      <c r="J519" s="1">
        <v>20</v>
      </c>
      <c r="K519" t="s">
        <v>2065</v>
      </c>
      <c r="L519" t="s">
        <v>2072</v>
      </c>
      <c r="M519">
        <v>4.9000000000000004</v>
      </c>
    </row>
    <row r="520" spans="1:19" x14ac:dyDescent="0.3">
      <c r="A520" t="s">
        <v>1103</v>
      </c>
      <c r="B520" t="s">
        <v>1104</v>
      </c>
      <c r="C520" t="s">
        <v>15</v>
      </c>
      <c r="D520" t="s">
        <v>20</v>
      </c>
      <c r="E520">
        <v>48</v>
      </c>
      <c r="F520" t="s">
        <v>23</v>
      </c>
      <c r="G520" t="s">
        <v>24</v>
      </c>
      <c r="H520" t="s">
        <v>60</v>
      </c>
      <c r="I520">
        <v>18</v>
      </c>
      <c r="J520" s="1">
        <v>50</v>
      </c>
      <c r="K520" t="s">
        <v>2071</v>
      </c>
      <c r="M520">
        <v>0</v>
      </c>
      <c r="N520" t="s">
        <v>96</v>
      </c>
      <c r="O520" t="s">
        <v>2076</v>
      </c>
      <c r="P520">
        <v>0.64</v>
      </c>
      <c r="Q520" s="2">
        <v>0.64</v>
      </c>
      <c r="S520" s="5">
        <v>1.2800000000000001E-2</v>
      </c>
    </row>
    <row r="521" spans="1:19" x14ac:dyDescent="0.3">
      <c r="A521" t="s">
        <v>1105</v>
      </c>
      <c r="B521" t="s">
        <v>1106</v>
      </c>
      <c r="C521" t="s">
        <v>15</v>
      </c>
      <c r="D521" t="s">
        <v>20</v>
      </c>
      <c r="E521">
        <v>54</v>
      </c>
      <c r="F521" t="s">
        <v>254</v>
      </c>
      <c r="G521" t="s">
        <v>255</v>
      </c>
      <c r="H521" t="s">
        <v>60</v>
      </c>
      <c r="I521">
        <v>9</v>
      </c>
      <c r="J521" s="1">
        <v>20</v>
      </c>
      <c r="K521" t="s">
        <v>2068</v>
      </c>
      <c r="L521" t="s">
        <v>2072</v>
      </c>
      <c r="M521">
        <v>0</v>
      </c>
      <c r="N521" t="s">
        <v>19</v>
      </c>
      <c r="O521" t="s">
        <v>2076</v>
      </c>
      <c r="P521">
        <v>0.96</v>
      </c>
      <c r="Q521" s="2">
        <v>0.96</v>
      </c>
      <c r="S521" s="5">
        <v>4.8000000000000001E-2</v>
      </c>
    </row>
    <row r="522" spans="1:19" x14ac:dyDescent="0.3">
      <c r="A522" t="s">
        <v>1107</v>
      </c>
      <c r="B522" t="s">
        <v>1108</v>
      </c>
      <c r="C522" t="s">
        <v>15</v>
      </c>
      <c r="D522" t="s">
        <v>20</v>
      </c>
      <c r="E522">
        <v>60</v>
      </c>
      <c r="F522" t="s">
        <v>87</v>
      </c>
      <c r="G522" t="s">
        <v>88</v>
      </c>
      <c r="H522" t="s">
        <v>108</v>
      </c>
      <c r="J522" s="1">
        <v>100</v>
      </c>
      <c r="K522" t="s">
        <v>2070</v>
      </c>
      <c r="M522">
        <v>0</v>
      </c>
      <c r="N522">
        <v>1</v>
      </c>
      <c r="O522" t="s">
        <v>2076</v>
      </c>
      <c r="P522">
        <v>0.96</v>
      </c>
      <c r="Q522" s="2">
        <v>0.96</v>
      </c>
      <c r="S522" s="5">
        <v>9.5999999999999992E-3</v>
      </c>
    </row>
    <row r="523" spans="1:19" x14ac:dyDescent="0.3">
      <c r="A523" t="s">
        <v>1109</v>
      </c>
      <c r="B523" t="s">
        <v>1110</v>
      </c>
      <c r="C523" t="s">
        <v>15</v>
      </c>
      <c r="D523" t="s">
        <v>20</v>
      </c>
      <c r="E523">
        <v>59</v>
      </c>
      <c r="F523" t="s">
        <v>91</v>
      </c>
      <c r="G523" t="s">
        <v>59</v>
      </c>
      <c r="H523" t="s">
        <v>52</v>
      </c>
      <c r="I523">
        <v>30</v>
      </c>
      <c r="J523" s="1">
        <v>30</v>
      </c>
      <c r="K523" t="s">
        <v>2068</v>
      </c>
      <c r="L523" t="s">
        <v>2069</v>
      </c>
      <c r="M523">
        <v>4.3</v>
      </c>
      <c r="N523">
        <v>1</v>
      </c>
      <c r="O523" t="s">
        <v>2076</v>
      </c>
      <c r="P523">
        <v>0.83</v>
      </c>
      <c r="Q523" s="2">
        <v>0.83</v>
      </c>
      <c r="S523" s="5">
        <v>2.76666666666667E-2</v>
      </c>
    </row>
    <row r="524" spans="1:19" x14ac:dyDescent="0.3">
      <c r="A524" t="s">
        <v>1111</v>
      </c>
      <c r="B524" t="s">
        <v>1112</v>
      </c>
      <c r="C524" t="s">
        <v>76</v>
      </c>
      <c r="D524" t="s">
        <v>80</v>
      </c>
      <c r="E524">
        <v>57</v>
      </c>
      <c r="F524" t="s">
        <v>83</v>
      </c>
      <c r="G524" t="s">
        <v>84</v>
      </c>
      <c r="H524" t="s">
        <v>47</v>
      </c>
      <c r="I524">
        <v>0</v>
      </c>
      <c r="J524" s="1">
        <v>50</v>
      </c>
      <c r="K524" t="s">
        <v>2071</v>
      </c>
      <c r="M524">
        <v>1.6</v>
      </c>
      <c r="N524" t="s">
        <v>53</v>
      </c>
      <c r="O524" t="s">
        <v>2077</v>
      </c>
      <c r="P524">
        <v>0.6</v>
      </c>
      <c r="Q524" s="2">
        <v>0.6</v>
      </c>
      <c r="S524" s="5">
        <v>1.2E-2</v>
      </c>
    </row>
    <row r="525" spans="1:19" x14ac:dyDescent="0.3">
      <c r="A525" t="s">
        <v>1113</v>
      </c>
      <c r="B525" t="s">
        <v>1114</v>
      </c>
      <c r="C525" t="s">
        <v>76</v>
      </c>
      <c r="D525" t="s">
        <v>80</v>
      </c>
      <c r="E525">
        <v>35</v>
      </c>
      <c r="F525" t="s">
        <v>27</v>
      </c>
      <c r="G525" t="s">
        <v>28</v>
      </c>
      <c r="H525" t="s">
        <v>66</v>
      </c>
      <c r="I525">
        <v>10</v>
      </c>
      <c r="J525" s="1">
        <v>50</v>
      </c>
      <c r="K525" t="s">
        <v>2065</v>
      </c>
      <c r="L525" t="s">
        <v>2071</v>
      </c>
      <c r="M525">
        <v>0</v>
      </c>
      <c r="N525" t="s">
        <v>67</v>
      </c>
      <c r="O525" t="s">
        <v>2077</v>
      </c>
    </row>
    <row r="526" spans="1:19" x14ac:dyDescent="0.3">
      <c r="A526" t="s">
        <v>1115</v>
      </c>
      <c r="B526" t="s">
        <v>1116</v>
      </c>
      <c r="C526" t="s">
        <v>111</v>
      </c>
      <c r="D526" t="s">
        <v>80</v>
      </c>
      <c r="E526">
        <v>58</v>
      </c>
      <c r="F526" t="s">
        <v>16</v>
      </c>
      <c r="G526" t="s">
        <v>17</v>
      </c>
      <c r="H526" t="s">
        <v>52</v>
      </c>
      <c r="I526">
        <v>4</v>
      </c>
      <c r="J526" s="1">
        <v>50</v>
      </c>
      <c r="K526" t="s">
        <v>2065</v>
      </c>
      <c r="L526" t="s">
        <v>2071</v>
      </c>
      <c r="M526">
        <v>3.1</v>
      </c>
      <c r="N526">
        <v>0</v>
      </c>
      <c r="O526" t="s">
        <v>2077</v>
      </c>
      <c r="P526">
        <v>0.9</v>
      </c>
      <c r="Q526" s="2">
        <v>0.9</v>
      </c>
      <c r="S526" s="5">
        <v>1.7999999999999999E-2</v>
      </c>
    </row>
    <row r="527" spans="1:19" x14ac:dyDescent="0.3">
      <c r="A527" t="s">
        <v>1117</v>
      </c>
      <c r="B527" t="s">
        <v>1118</v>
      </c>
      <c r="C527" t="s">
        <v>76</v>
      </c>
      <c r="D527" t="s">
        <v>80</v>
      </c>
      <c r="E527">
        <v>54</v>
      </c>
      <c r="F527" t="s">
        <v>46</v>
      </c>
      <c r="G527" t="s">
        <v>17</v>
      </c>
      <c r="H527" t="s">
        <v>47</v>
      </c>
      <c r="J527" s="1">
        <v>30</v>
      </c>
      <c r="K527" t="s">
        <v>2069</v>
      </c>
      <c r="M527">
        <v>2.9</v>
      </c>
      <c r="N527" t="b">
        <v>1</v>
      </c>
      <c r="O527" t="s">
        <v>2076</v>
      </c>
      <c r="P527">
        <v>0.78</v>
      </c>
      <c r="Q527" s="2">
        <v>0.78</v>
      </c>
      <c r="S527" s="5">
        <v>2.5999999999999999E-2</v>
      </c>
    </row>
    <row r="528" spans="1:19" x14ac:dyDescent="0.3">
      <c r="A528" t="s">
        <v>1119</v>
      </c>
      <c r="B528" t="s">
        <v>1120</v>
      </c>
      <c r="C528" t="s">
        <v>76</v>
      </c>
      <c r="D528" t="s">
        <v>80</v>
      </c>
      <c r="E528">
        <v>29</v>
      </c>
      <c r="F528" t="s">
        <v>27</v>
      </c>
      <c r="G528" t="s">
        <v>28</v>
      </c>
      <c r="H528" t="s">
        <v>33</v>
      </c>
      <c r="I528">
        <v>6</v>
      </c>
      <c r="J528" s="1">
        <v>100</v>
      </c>
      <c r="K528" t="s">
        <v>2070</v>
      </c>
      <c r="M528">
        <v>1.8</v>
      </c>
      <c r="N528" t="s">
        <v>53</v>
      </c>
      <c r="O528" t="s">
        <v>2077</v>
      </c>
    </row>
    <row r="529" spans="1:19" x14ac:dyDescent="0.3">
      <c r="A529" t="s">
        <v>1121</v>
      </c>
      <c r="B529" t="s">
        <v>1122</v>
      </c>
      <c r="C529" t="s">
        <v>111</v>
      </c>
      <c r="D529" t="s">
        <v>80</v>
      </c>
      <c r="E529">
        <v>56</v>
      </c>
      <c r="F529" t="s">
        <v>158</v>
      </c>
      <c r="G529" t="s">
        <v>159</v>
      </c>
      <c r="H529" t="s">
        <v>18</v>
      </c>
      <c r="I529">
        <v>3</v>
      </c>
      <c r="J529" s="1">
        <v>40</v>
      </c>
      <c r="K529" t="s">
        <v>2067</v>
      </c>
      <c r="M529">
        <v>4.0999999999999996</v>
      </c>
      <c r="N529" t="b">
        <v>1</v>
      </c>
      <c r="O529" t="s">
        <v>2076</v>
      </c>
      <c r="P529">
        <v>0.89</v>
      </c>
      <c r="Q529" s="2">
        <v>0.89</v>
      </c>
      <c r="S529" s="5">
        <v>2.2249999999999999E-2</v>
      </c>
    </row>
    <row r="530" spans="1:19" x14ac:dyDescent="0.3">
      <c r="A530" t="s">
        <v>1123</v>
      </c>
      <c r="B530" t="s">
        <v>1124</v>
      </c>
      <c r="C530" t="s">
        <v>76</v>
      </c>
      <c r="D530" t="s">
        <v>80</v>
      </c>
      <c r="E530">
        <v>47</v>
      </c>
      <c r="F530" t="s">
        <v>50</v>
      </c>
      <c r="G530" t="s">
        <v>51</v>
      </c>
      <c r="H530" t="s">
        <v>63</v>
      </c>
      <c r="I530">
        <v>3</v>
      </c>
      <c r="J530" s="1">
        <v>40</v>
      </c>
      <c r="K530" t="s">
        <v>2067</v>
      </c>
      <c r="M530">
        <v>4.4000000000000004</v>
      </c>
      <c r="N530" t="s">
        <v>19</v>
      </c>
      <c r="O530" t="s">
        <v>2076</v>
      </c>
      <c r="P530">
        <v>0.92</v>
      </c>
      <c r="Q530" s="2">
        <v>0.92</v>
      </c>
      <c r="S530" s="5">
        <v>2.3E-2</v>
      </c>
    </row>
    <row r="531" spans="1:19" x14ac:dyDescent="0.3">
      <c r="A531" t="s">
        <v>1125</v>
      </c>
      <c r="B531" t="s">
        <v>1126</v>
      </c>
      <c r="C531" t="s">
        <v>76</v>
      </c>
      <c r="D531" t="s">
        <v>80</v>
      </c>
      <c r="E531">
        <v>36</v>
      </c>
      <c r="F531" t="s">
        <v>83</v>
      </c>
      <c r="G531" t="s">
        <v>84</v>
      </c>
      <c r="H531" t="s">
        <v>108</v>
      </c>
      <c r="I531">
        <v>8</v>
      </c>
      <c r="J531" s="1">
        <v>100</v>
      </c>
      <c r="K531" t="s">
        <v>2068</v>
      </c>
      <c r="L531" t="s">
        <v>2070</v>
      </c>
      <c r="M531">
        <v>2.2000000000000002</v>
      </c>
      <c r="N531">
        <v>1</v>
      </c>
      <c r="O531" t="s">
        <v>2076</v>
      </c>
      <c r="P531">
        <v>0.97</v>
      </c>
      <c r="Q531" s="2">
        <v>0.97</v>
      </c>
      <c r="S531" s="5">
        <v>9.7000000000000003E-3</v>
      </c>
    </row>
    <row r="532" spans="1:19" x14ac:dyDescent="0.3">
      <c r="A532" t="s">
        <v>1127</v>
      </c>
      <c r="B532" t="s">
        <v>1128</v>
      </c>
      <c r="C532" t="s">
        <v>76</v>
      </c>
      <c r="D532" t="s">
        <v>80</v>
      </c>
      <c r="E532">
        <v>37</v>
      </c>
      <c r="F532" t="s">
        <v>91</v>
      </c>
      <c r="G532" t="s">
        <v>59</v>
      </c>
      <c r="H532" t="s">
        <v>60</v>
      </c>
      <c r="I532">
        <v>0</v>
      </c>
      <c r="J532" s="1">
        <v>40</v>
      </c>
      <c r="K532" t="s">
        <v>2065</v>
      </c>
      <c r="L532" t="s">
        <v>2067</v>
      </c>
      <c r="M532">
        <v>3.7</v>
      </c>
      <c r="N532">
        <v>1</v>
      </c>
      <c r="O532" t="s">
        <v>2076</v>
      </c>
    </row>
    <row r="533" spans="1:19" x14ac:dyDescent="0.3">
      <c r="A533" t="s">
        <v>1129</v>
      </c>
      <c r="B533" t="s">
        <v>1130</v>
      </c>
      <c r="C533" t="s">
        <v>76</v>
      </c>
      <c r="D533" t="s">
        <v>80</v>
      </c>
      <c r="E533">
        <v>20</v>
      </c>
      <c r="F533" t="s">
        <v>37</v>
      </c>
      <c r="G533" t="s">
        <v>38</v>
      </c>
      <c r="H533" t="s">
        <v>79</v>
      </c>
      <c r="I533">
        <v>0</v>
      </c>
      <c r="J533" s="1">
        <v>30</v>
      </c>
      <c r="K533" t="s">
        <v>2069</v>
      </c>
      <c r="M533">
        <v>4.8</v>
      </c>
      <c r="N533" t="s">
        <v>19</v>
      </c>
      <c r="O533" t="s">
        <v>2076</v>
      </c>
      <c r="P533">
        <v>0.68</v>
      </c>
      <c r="Q533" s="2">
        <v>0.68</v>
      </c>
      <c r="S533" s="5">
        <v>2.26666666666667E-2</v>
      </c>
    </row>
    <row r="534" spans="1:19" x14ac:dyDescent="0.3">
      <c r="A534" t="s">
        <v>1131</v>
      </c>
      <c r="B534" t="s">
        <v>1132</v>
      </c>
      <c r="C534" t="s">
        <v>76</v>
      </c>
      <c r="D534" t="s">
        <v>80</v>
      </c>
      <c r="E534">
        <v>27</v>
      </c>
      <c r="F534" t="s">
        <v>118</v>
      </c>
      <c r="G534" t="s">
        <v>119</v>
      </c>
      <c r="H534" t="s">
        <v>52</v>
      </c>
      <c r="I534">
        <v>8</v>
      </c>
      <c r="J534" s="1">
        <v>50</v>
      </c>
      <c r="K534" t="s">
        <v>2065</v>
      </c>
      <c r="L534" t="s">
        <v>2071</v>
      </c>
      <c r="M534">
        <v>1.6</v>
      </c>
      <c r="N534" t="s">
        <v>19</v>
      </c>
      <c r="O534" t="s">
        <v>2076</v>
      </c>
    </row>
    <row r="535" spans="1:19" x14ac:dyDescent="0.3">
      <c r="A535" t="s">
        <v>1133</v>
      </c>
      <c r="B535" t="s">
        <v>1134</v>
      </c>
      <c r="C535" t="s">
        <v>111</v>
      </c>
      <c r="D535" t="s">
        <v>80</v>
      </c>
      <c r="E535">
        <v>59</v>
      </c>
      <c r="F535" t="s">
        <v>37</v>
      </c>
      <c r="G535" t="s">
        <v>38</v>
      </c>
      <c r="H535" t="s">
        <v>39</v>
      </c>
      <c r="I535">
        <v>11</v>
      </c>
      <c r="J535" s="1">
        <v>75</v>
      </c>
      <c r="K535" t="s">
        <v>2065</v>
      </c>
      <c r="L535" t="s">
        <v>2066</v>
      </c>
      <c r="M535">
        <v>2.2999999999999998</v>
      </c>
      <c r="N535" t="s">
        <v>96</v>
      </c>
      <c r="O535" t="s">
        <v>2076</v>
      </c>
      <c r="P535">
        <v>0.8</v>
      </c>
      <c r="Q535" s="2">
        <v>0.8</v>
      </c>
      <c r="S535" s="5">
        <v>1.0666666666666699E-2</v>
      </c>
    </row>
    <row r="536" spans="1:19" x14ac:dyDescent="0.3">
      <c r="A536" t="s">
        <v>1135</v>
      </c>
      <c r="B536" t="s">
        <v>1136</v>
      </c>
      <c r="C536" t="s">
        <v>76</v>
      </c>
      <c r="D536" t="s">
        <v>80</v>
      </c>
      <c r="E536">
        <v>37</v>
      </c>
      <c r="F536" t="s">
        <v>77</v>
      </c>
      <c r="G536" t="s">
        <v>78</v>
      </c>
      <c r="H536" t="s">
        <v>33</v>
      </c>
      <c r="I536">
        <v>15</v>
      </c>
      <c r="J536" s="1">
        <v>75</v>
      </c>
      <c r="K536" t="s">
        <v>2066</v>
      </c>
      <c r="N536" t="b">
        <v>0</v>
      </c>
      <c r="O536" t="s">
        <v>2077</v>
      </c>
      <c r="P536">
        <v>0.94</v>
      </c>
      <c r="Q536" s="2">
        <v>0.94</v>
      </c>
      <c r="S536" s="5">
        <v>1.2533333333333301E-2</v>
      </c>
    </row>
    <row r="537" spans="1:19" x14ac:dyDescent="0.3">
      <c r="A537" t="s">
        <v>1137</v>
      </c>
      <c r="B537" t="s">
        <v>1138</v>
      </c>
      <c r="C537" t="s">
        <v>76</v>
      </c>
      <c r="D537" t="s">
        <v>80</v>
      </c>
      <c r="E537">
        <v>50</v>
      </c>
      <c r="F537" t="s">
        <v>27</v>
      </c>
      <c r="G537" t="s">
        <v>28</v>
      </c>
      <c r="H537" t="s">
        <v>66</v>
      </c>
      <c r="I537">
        <v>10</v>
      </c>
      <c r="J537" s="1">
        <v>100</v>
      </c>
      <c r="K537" t="s">
        <v>2065</v>
      </c>
      <c r="L537" t="s">
        <v>2070</v>
      </c>
      <c r="M537">
        <v>4.3</v>
      </c>
      <c r="N537" t="s">
        <v>53</v>
      </c>
      <c r="O537" t="s">
        <v>2077</v>
      </c>
      <c r="P537">
        <v>0.93</v>
      </c>
      <c r="Q537" s="2">
        <v>0.93</v>
      </c>
      <c r="S537" s="5">
        <v>9.2999999999999992E-3</v>
      </c>
    </row>
    <row r="538" spans="1:19" x14ac:dyDescent="0.3">
      <c r="A538" t="s">
        <v>1139</v>
      </c>
      <c r="B538" t="s">
        <v>1140</v>
      </c>
      <c r="C538" t="s">
        <v>111</v>
      </c>
      <c r="D538" t="s">
        <v>80</v>
      </c>
      <c r="E538">
        <v>34</v>
      </c>
      <c r="F538" t="s">
        <v>16</v>
      </c>
      <c r="G538" t="s">
        <v>17</v>
      </c>
      <c r="H538" t="s">
        <v>52</v>
      </c>
      <c r="I538">
        <v>11</v>
      </c>
      <c r="J538" s="1">
        <v>50</v>
      </c>
      <c r="K538" t="s">
        <v>2071</v>
      </c>
      <c r="M538">
        <v>3.3</v>
      </c>
      <c r="N538" t="s">
        <v>19</v>
      </c>
      <c r="O538" t="s">
        <v>2076</v>
      </c>
      <c r="P538">
        <v>0.76</v>
      </c>
      <c r="Q538" s="2">
        <v>0.76</v>
      </c>
      <c r="S538" s="5">
        <v>1.52E-2</v>
      </c>
    </row>
    <row r="539" spans="1:19" x14ac:dyDescent="0.3">
      <c r="A539" t="s">
        <v>1141</v>
      </c>
      <c r="B539" t="s">
        <v>1142</v>
      </c>
      <c r="C539" t="s">
        <v>76</v>
      </c>
      <c r="D539" t="s">
        <v>80</v>
      </c>
      <c r="E539">
        <v>57</v>
      </c>
      <c r="F539" t="s">
        <v>158</v>
      </c>
      <c r="G539" t="s">
        <v>159</v>
      </c>
      <c r="H539" t="s">
        <v>18</v>
      </c>
      <c r="J539" s="1">
        <v>75</v>
      </c>
      <c r="K539" t="s">
        <v>2066</v>
      </c>
      <c r="M539">
        <v>4.8</v>
      </c>
      <c r="N539">
        <v>1</v>
      </c>
      <c r="O539" t="s">
        <v>2076</v>
      </c>
    </row>
    <row r="540" spans="1:19" x14ac:dyDescent="0.3">
      <c r="A540" t="s">
        <v>1143</v>
      </c>
      <c r="B540" t="s">
        <v>1144</v>
      </c>
      <c r="C540" t="s">
        <v>36</v>
      </c>
      <c r="D540" t="s">
        <v>20</v>
      </c>
      <c r="E540">
        <v>59</v>
      </c>
      <c r="F540" t="s">
        <v>155</v>
      </c>
      <c r="G540" t="s">
        <v>17</v>
      </c>
      <c r="H540" t="s">
        <v>18</v>
      </c>
      <c r="I540">
        <v>22</v>
      </c>
      <c r="J540" s="1">
        <v>20</v>
      </c>
      <c r="K540" t="s">
        <v>2068</v>
      </c>
      <c r="L540" t="s">
        <v>2072</v>
      </c>
      <c r="M540">
        <v>3.6</v>
      </c>
      <c r="N540" t="s">
        <v>53</v>
      </c>
      <c r="O540" t="s">
        <v>2077</v>
      </c>
      <c r="P540">
        <v>0.63</v>
      </c>
      <c r="Q540" s="2">
        <v>0.63</v>
      </c>
      <c r="S540" s="5">
        <v>3.15E-2</v>
      </c>
    </row>
    <row r="541" spans="1:19" x14ac:dyDescent="0.3">
      <c r="A541" t="s">
        <v>1145</v>
      </c>
      <c r="B541" t="s">
        <v>1146</v>
      </c>
      <c r="C541" t="s">
        <v>15</v>
      </c>
      <c r="D541" t="s">
        <v>20</v>
      </c>
      <c r="E541">
        <v>26</v>
      </c>
      <c r="F541" t="s">
        <v>101</v>
      </c>
      <c r="G541" t="s">
        <v>59</v>
      </c>
      <c r="H541" t="s">
        <v>33</v>
      </c>
      <c r="I541">
        <v>5</v>
      </c>
      <c r="J541" s="1">
        <v>100</v>
      </c>
      <c r="K541" t="s">
        <v>2065</v>
      </c>
      <c r="L541" t="s">
        <v>2070</v>
      </c>
      <c r="M541">
        <v>2.5</v>
      </c>
      <c r="N541" t="b">
        <v>1</v>
      </c>
      <c r="O541" t="s">
        <v>2076</v>
      </c>
      <c r="P541">
        <v>0.93</v>
      </c>
      <c r="Q541" s="2">
        <v>0.93</v>
      </c>
      <c r="S541" s="5">
        <v>9.2999999999999992E-3</v>
      </c>
    </row>
    <row r="542" spans="1:19" x14ac:dyDescent="0.3">
      <c r="A542" t="s">
        <v>1147</v>
      </c>
      <c r="B542" t="s">
        <v>1148</v>
      </c>
      <c r="C542" t="s">
        <v>36</v>
      </c>
      <c r="D542" t="s">
        <v>20</v>
      </c>
      <c r="E542">
        <v>25</v>
      </c>
      <c r="F542" t="s">
        <v>104</v>
      </c>
      <c r="G542" t="s">
        <v>105</v>
      </c>
      <c r="H542" t="s">
        <v>52</v>
      </c>
      <c r="I542">
        <v>0</v>
      </c>
      <c r="J542" s="1">
        <v>50</v>
      </c>
      <c r="K542" t="s">
        <v>2071</v>
      </c>
      <c r="M542">
        <v>2.9</v>
      </c>
      <c r="N542" t="s">
        <v>19</v>
      </c>
      <c r="O542" t="s">
        <v>2076</v>
      </c>
      <c r="P542">
        <v>0.65</v>
      </c>
      <c r="Q542" s="2">
        <v>0.65</v>
      </c>
      <c r="S542" s="5">
        <v>1.2999999999999999E-2</v>
      </c>
    </row>
    <row r="543" spans="1:19" x14ac:dyDescent="0.3">
      <c r="A543" t="s">
        <v>1149</v>
      </c>
      <c r="B543" t="s">
        <v>1150</v>
      </c>
      <c r="C543" t="s">
        <v>111</v>
      </c>
      <c r="D543" t="s">
        <v>80</v>
      </c>
      <c r="E543">
        <v>28</v>
      </c>
      <c r="F543" t="s">
        <v>42</v>
      </c>
      <c r="G543" t="s">
        <v>43</v>
      </c>
      <c r="H543" t="s">
        <v>79</v>
      </c>
      <c r="I543">
        <v>2</v>
      </c>
      <c r="J543" s="1">
        <v>50</v>
      </c>
      <c r="K543" t="s">
        <v>2068</v>
      </c>
      <c r="L543" t="s">
        <v>2071</v>
      </c>
      <c r="N543">
        <v>1</v>
      </c>
      <c r="O543" t="s">
        <v>2076</v>
      </c>
      <c r="P543">
        <v>0.85</v>
      </c>
      <c r="Q543" s="2">
        <v>0.85</v>
      </c>
      <c r="S543" s="5">
        <v>1.7000000000000001E-2</v>
      </c>
    </row>
    <row r="544" spans="1:19" x14ac:dyDescent="0.3">
      <c r="A544" t="s">
        <v>1151</v>
      </c>
      <c r="B544" t="s">
        <v>1152</v>
      </c>
      <c r="C544" t="s">
        <v>111</v>
      </c>
      <c r="D544" t="s">
        <v>80</v>
      </c>
      <c r="E544">
        <v>49</v>
      </c>
      <c r="F544" t="s">
        <v>31</v>
      </c>
      <c r="G544" t="s">
        <v>32</v>
      </c>
      <c r="H544" t="s">
        <v>108</v>
      </c>
      <c r="I544">
        <v>22</v>
      </c>
      <c r="J544" s="1">
        <v>75</v>
      </c>
      <c r="K544" t="s">
        <v>2066</v>
      </c>
      <c r="M544">
        <v>0</v>
      </c>
      <c r="N544" t="b">
        <v>1</v>
      </c>
      <c r="O544" t="s">
        <v>2076</v>
      </c>
    </row>
    <row r="545" spans="1:19" x14ac:dyDescent="0.3">
      <c r="A545" t="s">
        <v>1153</v>
      </c>
      <c r="B545" t="s">
        <v>1154</v>
      </c>
      <c r="C545" t="s">
        <v>111</v>
      </c>
      <c r="D545" t="s">
        <v>80</v>
      </c>
      <c r="E545">
        <v>56</v>
      </c>
      <c r="F545" t="s">
        <v>158</v>
      </c>
      <c r="G545" t="s">
        <v>159</v>
      </c>
      <c r="H545" t="s">
        <v>63</v>
      </c>
      <c r="I545">
        <v>35</v>
      </c>
      <c r="J545" s="1">
        <v>40</v>
      </c>
      <c r="K545" t="s">
        <v>2065</v>
      </c>
      <c r="L545" t="s">
        <v>2067</v>
      </c>
      <c r="M545">
        <v>2.7</v>
      </c>
      <c r="N545" t="b">
        <v>1</v>
      </c>
      <c r="O545" t="s">
        <v>2076</v>
      </c>
      <c r="P545">
        <v>0.82</v>
      </c>
      <c r="Q545" s="2">
        <v>0.82</v>
      </c>
      <c r="S545" s="5">
        <v>2.0500000000000001E-2</v>
      </c>
    </row>
    <row r="546" spans="1:19" x14ac:dyDescent="0.3">
      <c r="A546" t="s">
        <v>1155</v>
      </c>
      <c r="B546" t="s">
        <v>1156</v>
      </c>
      <c r="C546" t="s">
        <v>111</v>
      </c>
      <c r="D546" t="s">
        <v>80</v>
      </c>
      <c r="E546">
        <v>48</v>
      </c>
      <c r="F546" t="s">
        <v>23</v>
      </c>
      <c r="G546" t="s">
        <v>24</v>
      </c>
      <c r="H546" t="s">
        <v>52</v>
      </c>
      <c r="I546">
        <v>6</v>
      </c>
      <c r="J546" s="1">
        <v>30</v>
      </c>
      <c r="K546" t="s">
        <v>2069</v>
      </c>
      <c r="N546" t="s">
        <v>53</v>
      </c>
      <c r="O546" t="s">
        <v>2077</v>
      </c>
      <c r="P546">
        <v>0.96</v>
      </c>
      <c r="Q546" s="2">
        <v>0.96</v>
      </c>
      <c r="S546" s="5">
        <v>3.2000000000000001E-2</v>
      </c>
    </row>
    <row r="547" spans="1:19" x14ac:dyDescent="0.3">
      <c r="A547" t="s">
        <v>1157</v>
      </c>
      <c r="B547" t="s">
        <v>1158</v>
      </c>
      <c r="C547" t="s">
        <v>76</v>
      </c>
      <c r="D547" t="s">
        <v>80</v>
      </c>
      <c r="E547">
        <v>20</v>
      </c>
      <c r="F547" t="s">
        <v>16</v>
      </c>
      <c r="G547" t="s">
        <v>17</v>
      </c>
      <c r="H547" t="s">
        <v>108</v>
      </c>
      <c r="I547">
        <v>1</v>
      </c>
      <c r="M547">
        <v>3.5</v>
      </c>
      <c r="N547">
        <v>0</v>
      </c>
      <c r="O547" t="s">
        <v>2077</v>
      </c>
      <c r="P547">
        <v>0.71</v>
      </c>
      <c r="Q547" s="2">
        <v>0.71</v>
      </c>
    </row>
    <row r="548" spans="1:19" x14ac:dyDescent="0.3">
      <c r="A548" t="s">
        <v>1159</v>
      </c>
      <c r="B548" t="s">
        <v>1160</v>
      </c>
      <c r="C548" t="s">
        <v>76</v>
      </c>
      <c r="D548" t="s">
        <v>80</v>
      </c>
      <c r="E548">
        <v>35</v>
      </c>
      <c r="F548" t="s">
        <v>58</v>
      </c>
      <c r="G548" t="s">
        <v>59</v>
      </c>
      <c r="H548" t="s">
        <v>18</v>
      </c>
      <c r="I548">
        <v>0</v>
      </c>
      <c r="N548" t="s">
        <v>96</v>
      </c>
      <c r="O548" t="s">
        <v>2076</v>
      </c>
      <c r="P548">
        <v>85</v>
      </c>
      <c r="Q548" s="2">
        <v>0.85</v>
      </c>
      <c r="R548">
        <v>0.85</v>
      </c>
    </row>
    <row r="549" spans="1:19" x14ac:dyDescent="0.3">
      <c r="A549" t="s">
        <v>1161</v>
      </c>
      <c r="B549" t="s">
        <v>1162</v>
      </c>
      <c r="C549" t="s">
        <v>15</v>
      </c>
      <c r="D549" t="s">
        <v>20</v>
      </c>
      <c r="E549">
        <v>52</v>
      </c>
      <c r="F549" t="s">
        <v>58</v>
      </c>
      <c r="G549" t="s">
        <v>59</v>
      </c>
      <c r="H549" t="s">
        <v>33</v>
      </c>
      <c r="I549">
        <v>21</v>
      </c>
      <c r="J549" s="1">
        <v>75</v>
      </c>
      <c r="K549" t="s">
        <v>2068</v>
      </c>
      <c r="L549" t="s">
        <v>2066</v>
      </c>
      <c r="M549">
        <v>2.2000000000000002</v>
      </c>
      <c r="N549">
        <v>1</v>
      </c>
      <c r="O549" t="s">
        <v>2076</v>
      </c>
      <c r="P549">
        <v>0.66</v>
      </c>
      <c r="Q549" s="2">
        <v>0.66</v>
      </c>
      <c r="S549" s="5">
        <v>8.8000000000000005E-3</v>
      </c>
    </row>
    <row r="550" spans="1:19" x14ac:dyDescent="0.3">
      <c r="A550" t="s">
        <v>1163</v>
      </c>
      <c r="B550" t="s">
        <v>1164</v>
      </c>
      <c r="C550" t="s">
        <v>36</v>
      </c>
      <c r="D550" t="s">
        <v>20</v>
      </c>
      <c r="E550">
        <v>24</v>
      </c>
      <c r="F550" t="s">
        <v>188</v>
      </c>
      <c r="G550" t="s">
        <v>189</v>
      </c>
      <c r="H550" t="s">
        <v>33</v>
      </c>
      <c r="I550">
        <v>2</v>
      </c>
      <c r="J550" s="1">
        <v>100</v>
      </c>
      <c r="K550" t="s">
        <v>2065</v>
      </c>
      <c r="L550" t="s">
        <v>2070</v>
      </c>
      <c r="M550">
        <v>3.8</v>
      </c>
      <c r="N550">
        <v>1</v>
      </c>
      <c r="O550" t="s">
        <v>2076</v>
      </c>
      <c r="P550">
        <v>0.71</v>
      </c>
      <c r="Q550" s="2">
        <v>0.71</v>
      </c>
      <c r="S550" s="5">
        <v>7.1000000000000004E-3</v>
      </c>
    </row>
    <row r="551" spans="1:19" x14ac:dyDescent="0.3">
      <c r="A551" t="s">
        <v>1165</v>
      </c>
      <c r="B551" t="s">
        <v>1166</v>
      </c>
      <c r="C551" t="s">
        <v>15</v>
      </c>
      <c r="D551" t="s">
        <v>20</v>
      </c>
      <c r="E551">
        <v>47</v>
      </c>
      <c r="F551" t="s">
        <v>87</v>
      </c>
      <c r="G551" t="s">
        <v>88</v>
      </c>
      <c r="H551" t="s">
        <v>66</v>
      </c>
      <c r="I551">
        <v>28</v>
      </c>
      <c r="J551" s="1">
        <v>50</v>
      </c>
      <c r="K551" t="s">
        <v>2068</v>
      </c>
      <c r="L551" t="s">
        <v>2071</v>
      </c>
      <c r="M551">
        <v>2.9</v>
      </c>
      <c r="N551" t="b">
        <v>1</v>
      </c>
      <c r="O551" t="s">
        <v>2076</v>
      </c>
    </row>
    <row r="552" spans="1:19" x14ac:dyDescent="0.3">
      <c r="A552" t="s">
        <v>1167</v>
      </c>
      <c r="B552" t="s">
        <v>1168</v>
      </c>
      <c r="C552" t="s">
        <v>15</v>
      </c>
      <c r="D552" t="s">
        <v>20</v>
      </c>
      <c r="E552">
        <v>30</v>
      </c>
      <c r="F552" t="s">
        <v>77</v>
      </c>
      <c r="G552" t="s">
        <v>78</v>
      </c>
      <c r="H552" t="s">
        <v>18</v>
      </c>
      <c r="I552">
        <v>5</v>
      </c>
      <c r="J552" s="1">
        <v>30</v>
      </c>
      <c r="K552" t="s">
        <v>2065</v>
      </c>
      <c r="L552" t="s">
        <v>2069</v>
      </c>
      <c r="M552">
        <v>4.8</v>
      </c>
      <c r="N552" t="s">
        <v>53</v>
      </c>
      <c r="O552" t="s">
        <v>2077</v>
      </c>
    </row>
    <row r="553" spans="1:19" x14ac:dyDescent="0.3">
      <c r="A553" t="s">
        <v>1169</v>
      </c>
      <c r="B553" t="s">
        <v>1170</v>
      </c>
      <c r="C553" t="s">
        <v>15</v>
      </c>
      <c r="D553" t="s">
        <v>20</v>
      </c>
      <c r="E553">
        <v>24</v>
      </c>
      <c r="F553" t="s">
        <v>27</v>
      </c>
      <c r="G553" t="s">
        <v>28</v>
      </c>
      <c r="H553" t="s">
        <v>60</v>
      </c>
      <c r="I553">
        <v>3</v>
      </c>
      <c r="J553" s="1">
        <v>30</v>
      </c>
      <c r="K553" t="s">
        <v>2065</v>
      </c>
      <c r="L553" t="s">
        <v>2069</v>
      </c>
      <c r="M553">
        <v>2.2999999999999998</v>
      </c>
      <c r="N553" t="b">
        <v>0</v>
      </c>
      <c r="O553" t="s">
        <v>2077</v>
      </c>
      <c r="P553">
        <v>0.66</v>
      </c>
      <c r="Q553" s="2">
        <v>0.66</v>
      </c>
      <c r="S553" s="5">
        <v>2.1999999999999999E-2</v>
      </c>
    </row>
    <row r="554" spans="1:19" x14ac:dyDescent="0.3">
      <c r="A554" t="s">
        <v>1171</v>
      </c>
      <c r="B554" t="s">
        <v>1172</v>
      </c>
      <c r="C554" t="s">
        <v>36</v>
      </c>
      <c r="D554" t="s">
        <v>20</v>
      </c>
      <c r="E554">
        <v>58</v>
      </c>
      <c r="F554" t="s">
        <v>104</v>
      </c>
      <c r="G554" t="s">
        <v>105</v>
      </c>
      <c r="H554" t="s">
        <v>18</v>
      </c>
      <c r="I554">
        <v>33</v>
      </c>
      <c r="M554">
        <v>4.0999999999999996</v>
      </c>
      <c r="N554" t="s">
        <v>96</v>
      </c>
      <c r="O554" t="s">
        <v>2076</v>
      </c>
      <c r="P554">
        <v>0.83</v>
      </c>
      <c r="Q554" s="2">
        <v>0.83</v>
      </c>
    </row>
    <row r="555" spans="1:19" x14ac:dyDescent="0.3">
      <c r="A555" t="s">
        <v>1173</v>
      </c>
      <c r="B555" t="s">
        <v>1174</v>
      </c>
      <c r="C555" t="s">
        <v>36</v>
      </c>
      <c r="D555" t="s">
        <v>20</v>
      </c>
      <c r="E555">
        <v>41</v>
      </c>
      <c r="F555" t="s">
        <v>91</v>
      </c>
      <c r="G555" t="s">
        <v>59</v>
      </c>
      <c r="H555" t="s">
        <v>60</v>
      </c>
      <c r="I555">
        <v>11</v>
      </c>
      <c r="J555" s="1">
        <v>50</v>
      </c>
      <c r="K555" t="s">
        <v>2071</v>
      </c>
      <c r="M555">
        <v>3.5</v>
      </c>
      <c r="N555">
        <v>1</v>
      </c>
      <c r="O555" t="s">
        <v>2076</v>
      </c>
      <c r="P555">
        <v>0.68</v>
      </c>
      <c r="Q555" s="2">
        <v>0.68</v>
      </c>
      <c r="S555" s="5">
        <v>1.3599999999999999E-2</v>
      </c>
    </row>
    <row r="556" spans="1:19" x14ac:dyDescent="0.3">
      <c r="A556" t="s">
        <v>1175</v>
      </c>
      <c r="B556" t="s">
        <v>1176</v>
      </c>
      <c r="C556" t="s">
        <v>15</v>
      </c>
      <c r="D556" t="s">
        <v>20</v>
      </c>
      <c r="E556">
        <v>41</v>
      </c>
      <c r="F556" t="s">
        <v>37</v>
      </c>
      <c r="G556" t="s">
        <v>38</v>
      </c>
      <c r="H556" t="s">
        <v>66</v>
      </c>
      <c r="I556">
        <v>12</v>
      </c>
      <c r="M556">
        <v>1.3</v>
      </c>
      <c r="N556">
        <v>0</v>
      </c>
      <c r="O556" t="s">
        <v>2077</v>
      </c>
      <c r="P556">
        <v>0.85</v>
      </c>
      <c r="Q556" s="2">
        <v>0.85</v>
      </c>
    </row>
    <row r="557" spans="1:19" x14ac:dyDescent="0.3">
      <c r="A557" t="s">
        <v>1177</v>
      </c>
      <c r="B557" t="s">
        <v>1178</v>
      </c>
      <c r="C557" t="s">
        <v>15</v>
      </c>
      <c r="D557" t="s">
        <v>20</v>
      </c>
      <c r="E557">
        <v>41</v>
      </c>
      <c r="F557" t="s">
        <v>158</v>
      </c>
      <c r="G557" t="s">
        <v>159</v>
      </c>
      <c r="H557" t="s">
        <v>33</v>
      </c>
      <c r="I557">
        <v>0</v>
      </c>
      <c r="J557" s="1">
        <v>40</v>
      </c>
      <c r="K557" t="s">
        <v>2068</v>
      </c>
      <c r="L557" t="s">
        <v>2067</v>
      </c>
      <c r="M557">
        <v>4.5</v>
      </c>
      <c r="N557" t="s">
        <v>53</v>
      </c>
      <c r="O557" t="s">
        <v>2077</v>
      </c>
      <c r="P557">
        <v>0.68</v>
      </c>
      <c r="Q557" s="2">
        <v>0.68</v>
      </c>
      <c r="S557" s="5">
        <v>1.7000000000000001E-2</v>
      </c>
    </row>
    <row r="558" spans="1:19" x14ac:dyDescent="0.3">
      <c r="A558" t="s">
        <v>1179</v>
      </c>
      <c r="B558" t="s">
        <v>1180</v>
      </c>
      <c r="C558" t="s">
        <v>15</v>
      </c>
      <c r="D558" t="s">
        <v>20</v>
      </c>
      <c r="E558">
        <v>30</v>
      </c>
      <c r="F558" t="s">
        <v>37</v>
      </c>
      <c r="G558" t="s">
        <v>38</v>
      </c>
      <c r="H558" t="s">
        <v>52</v>
      </c>
      <c r="I558">
        <v>3</v>
      </c>
      <c r="J558" s="1">
        <v>30</v>
      </c>
      <c r="K558" t="s">
        <v>2065</v>
      </c>
      <c r="L558" t="s">
        <v>2069</v>
      </c>
      <c r="M558">
        <v>1.1000000000000001</v>
      </c>
      <c r="N558" t="b">
        <v>1</v>
      </c>
      <c r="O558" t="s">
        <v>2076</v>
      </c>
    </row>
    <row r="559" spans="1:19" x14ac:dyDescent="0.3">
      <c r="A559" t="s">
        <v>1181</v>
      </c>
      <c r="B559" t="s">
        <v>1182</v>
      </c>
      <c r="C559" t="s">
        <v>76</v>
      </c>
      <c r="D559" t="s">
        <v>80</v>
      </c>
      <c r="E559">
        <v>53</v>
      </c>
      <c r="F559" t="s">
        <v>46</v>
      </c>
      <c r="G559" t="s">
        <v>17</v>
      </c>
      <c r="H559" t="s">
        <v>52</v>
      </c>
      <c r="I559">
        <v>19</v>
      </c>
      <c r="J559" s="1">
        <v>20</v>
      </c>
      <c r="K559" t="s">
        <v>2068</v>
      </c>
      <c r="L559" t="s">
        <v>2072</v>
      </c>
      <c r="M559">
        <v>1.3</v>
      </c>
      <c r="N559">
        <v>0</v>
      </c>
      <c r="O559" t="s">
        <v>2077</v>
      </c>
    </row>
    <row r="560" spans="1:19" x14ac:dyDescent="0.3">
      <c r="A560" t="s">
        <v>1183</v>
      </c>
      <c r="B560" t="s">
        <v>1184</v>
      </c>
      <c r="C560" t="s">
        <v>111</v>
      </c>
      <c r="D560" t="s">
        <v>80</v>
      </c>
      <c r="E560">
        <v>35</v>
      </c>
      <c r="F560" t="s">
        <v>27</v>
      </c>
      <c r="G560" t="s">
        <v>28</v>
      </c>
      <c r="H560" t="s">
        <v>18</v>
      </c>
      <c r="I560">
        <v>0</v>
      </c>
      <c r="J560" s="1">
        <v>30</v>
      </c>
      <c r="K560" t="s">
        <v>2068</v>
      </c>
      <c r="L560" t="s">
        <v>2069</v>
      </c>
      <c r="M560">
        <v>4.5999999999999996</v>
      </c>
      <c r="P560">
        <v>0.97</v>
      </c>
      <c r="Q560" s="2">
        <v>0.97</v>
      </c>
      <c r="S560" s="5">
        <v>3.2333333333333297E-2</v>
      </c>
    </row>
    <row r="561" spans="1:19" x14ac:dyDescent="0.3">
      <c r="A561" t="s">
        <v>1185</v>
      </c>
      <c r="B561" t="s">
        <v>1186</v>
      </c>
      <c r="C561" t="s">
        <v>111</v>
      </c>
      <c r="D561" t="s">
        <v>80</v>
      </c>
      <c r="E561">
        <v>42</v>
      </c>
      <c r="F561" t="s">
        <v>87</v>
      </c>
      <c r="G561" t="s">
        <v>88</v>
      </c>
      <c r="H561" t="s">
        <v>52</v>
      </c>
      <c r="I561">
        <v>10</v>
      </c>
      <c r="J561" s="1">
        <v>100</v>
      </c>
      <c r="K561" t="s">
        <v>2070</v>
      </c>
      <c r="M561">
        <v>3.7</v>
      </c>
      <c r="N561" t="s">
        <v>96</v>
      </c>
      <c r="O561" t="s">
        <v>2076</v>
      </c>
      <c r="P561">
        <v>0.94</v>
      </c>
      <c r="Q561" s="2">
        <v>0.94</v>
      </c>
      <c r="S561" s="5">
        <v>9.4000000000000004E-3</v>
      </c>
    </row>
    <row r="562" spans="1:19" x14ac:dyDescent="0.3">
      <c r="A562" t="s">
        <v>1187</v>
      </c>
      <c r="B562" t="s">
        <v>1188</v>
      </c>
      <c r="C562" t="s">
        <v>76</v>
      </c>
      <c r="D562" t="s">
        <v>80</v>
      </c>
      <c r="E562">
        <v>48</v>
      </c>
      <c r="F562" t="s">
        <v>87</v>
      </c>
      <c r="G562" t="s">
        <v>88</v>
      </c>
      <c r="H562" t="s">
        <v>79</v>
      </c>
      <c r="I562">
        <v>21</v>
      </c>
      <c r="J562" s="1">
        <v>30</v>
      </c>
      <c r="K562" t="s">
        <v>2069</v>
      </c>
      <c r="M562">
        <v>1.6</v>
      </c>
      <c r="N562" t="s">
        <v>96</v>
      </c>
      <c r="O562" t="s">
        <v>2076</v>
      </c>
      <c r="P562">
        <v>0.67</v>
      </c>
      <c r="Q562" s="2">
        <v>0.67</v>
      </c>
      <c r="S562" s="5">
        <v>2.2333333333333299E-2</v>
      </c>
    </row>
    <row r="563" spans="1:19" x14ac:dyDescent="0.3">
      <c r="A563" t="s">
        <v>1189</v>
      </c>
      <c r="B563" t="s">
        <v>1190</v>
      </c>
      <c r="C563" t="s">
        <v>76</v>
      </c>
      <c r="D563" t="s">
        <v>80</v>
      </c>
      <c r="E563">
        <v>46</v>
      </c>
      <c r="F563" t="s">
        <v>139</v>
      </c>
      <c r="G563" t="s">
        <v>59</v>
      </c>
      <c r="H563" t="s">
        <v>108</v>
      </c>
      <c r="I563">
        <v>9</v>
      </c>
      <c r="J563" s="1">
        <v>30</v>
      </c>
      <c r="K563" t="s">
        <v>2065</v>
      </c>
      <c r="L563" t="s">
        <v>2069</v>
      </c>
      <c r="M563">
        <v>3.5</v>
      </c>
      <c r="P563">
        <v>72</v>
      </c>
      <c r="Q563" s="2">
        <v>0.72</v>
      </c>
      <c r="R563">
        <v>0.72</v>
      </c>
      <c r="S563" s="5">
        <v>2.4E-2</v>
      </c>
    </row>
    <row r="564" spans="1:19" x14ac:dyDescent="0.3">
      <c r="A564" t="s">
        <v>1191</v>
      </c>
      <c r="B564" t="s">
        <v>1192</v>
      </c>
      <c r="C564" t="s">
        <v>111</v>
      </c>
      <c r="D564" t="s">
        <v>80</v>
      </c>
      <c r="E564">
        <v>21</v>
      </c>
      <c r="F564" t="s">
        <v>37</v>
      </c>
      <c r="G564" t="s">
        <v>38</v>
      </c>
      <c r="H564" t="s">
        <v>18</v>
      </c>
      <c r="I564">
        <v>2</v>
      </c>
      <c r="J564" s="1">
        <v>50</v>
      </c>
      <c r="K564" t="s">
        <v>2065</v>
      </c>
      <c r="L564" t="s">
        <v>2071</v>
      </c>
      <c r="M564">
        <v>4.9000000000000004</v>
      </c>
      <c r="N564" t="s">
        <v>19</v>
      </c>
      <c r="O564" t="s">
        <v>2076</v>
      </c>
      <c r="P564">
        <v>0.68</v>
      </c>
      <c r="Q564" s="2">
        <v>0.68</v>
      </c>
      <c r="S564" s="5">
        <v>1.3599999999999999E-2</v>
      </c>
    </row>
    <row r="565" spans="1:19" x14ac:dyDescent="0.3">
      <c r="A565" t="s">
        <v>1193</v>
      </c>
      <c r="B565" t="s">
        <v>1194</v>
      </c>
      <c r="C565" t="s">
        <v>76</v>
      </c>
      <c r="D565" t="s">
        <v>80</v>
      </c>
      <c r="E565">
        <v>26</v>
      </c>
      <c r="F565" t="s">
        <v>101</v>
      </c>
      <c r="G565" t="s">
        <v>59</v>
      </c>
      <c r="H565" t="s">
        <v>79</v>
      </c>
      <c r="I565">
        <v>2</v>
      </c>
      <c r="J565" s="1">
        <v>75</v>
      </c>
      <c r="K565" t="s">
        <v>2068</v>
      </c>
      <c r="L565" t="s">
        <v>2066</v>
      </c>
      <c r="M565">
        <v>2.5</v>
      </c>
      <c r="N565" t="s">
        <v>19</v>
      </c>
      <c r="O565" t="s">
        <v>2076</v>
      </c>
      <c r="P565">
        <v>60</v>
      </c>
      <c r="Q565" s="2">
        <v>0.6</v>
      </c>
      <c r="R565">
        <v>0.6</v>
      </c>
      <c r="S565" s="5">
        <v>8.0000000000000002E-3</v>
      </c>
    </row>
    <row r="566" spans="1:19" x14ac:dyDescent="0.3">
      <c r="A566" t="s">
        <v>1195</v>
      </c>
      <c r="B566" t="s">
        <v>1196</v>
      </c>
      <c r="C566" t="s">
        <v>111</v>
      </c>
      <c r="D566" t="s">
        <v>80</v>
      </c>
      <c r="E566">
        <v>59</v>
      </c>
      <c r="F566" t="s">
        <v>58</v>
      </c>
      <c r="G566" t="s">
        <v>59</v>
      </c>
      <c r="H566" t="s">
        <v>33</v>
      </c>
      <c r="I566">
        <v>40</v>
      </c>
      <c r="J566" s="1">
        <v>40</v>
      </c>
      <c r="K566" t="s">
        <v>2067</v>
      </c>
      <c r="M566">
        <v>2.5</v>
      </c>
      <c r="N566" t="b">
        <v>1</v>
      </c>
      <c r="O566" t="s">
        <v>2076</v>
      </c>
      <c r="P566">
        <v>70</v>
      </c>
      <c r="Q566" s="2">
        <v>0.7</v>
      </c>
      <c r="R566">
        <v>0.7</v>
      </c>
      <c r="S566" s="5">
        <v>1.7500000000000002E-2</v>
      </c>
    </row>
    <row r="567" spans="1:19" x14ac:dyDescent="0.3">
      <c r="A567" t="s">
        <v>1197</v>
      </c>
      <c r="B567" t="s">
        <v>1198</v>
      </c>
      <c r="C567" t="s">
        <v>76</v>
      </c>
      <c r="D567" t="s">
        <v>80</v>
      </c>
      <c r="E567">
        <v>33</v>
      </c>
      <c r="F567" t="s">
        <v>27</v>
      </c>
      <c r="G567" t="s">
        <v>28</v>
      </c>
      <c r="H567" t="s">
        <v>63</v>
      </c>
      <c r="I567">
        <v>11</v>
      </c>
      <c r="M567">
        <v>0</v>
      </c>
      <c r="N567" t="s">
        <v>19</v>
      </c>
      <c r="O567" t="s">
        <v>2076</v>
      </c>
      <c r="P567">
        <v>0.65</v>
      </c>
      <c r="Q567" s="2">
        <v>0.65</v>
      </c>
    </row>
    <row r="568" spans="1:19" x14ac:dyDescent="0.3">
      <c r="A568" t="s">
        <v>1199</v>
      </c>
      <c r="B568" t="s">
        <v>1200</v>
      </c>
      <c r="C568" t="s">
        <v>76</v>
      </c>
      <c r="D568" t="s">
        <v>80</v>
      </c>
      <c r="E568">
        <v>55</v>
      </c>
      <c r="F568" t="s">
        <v>42</v>
      </c>
      <c r="G568" t="s">
        <v>43</v>
      </c>
      <c r="H568" t="s">
        <v>108</v>
      </c>
      <c r="I568">
        <v>2</v>
      </c>
      <c r="J568" s="1">
        <v>30</v>
      </c>
      <c r="K568" t="s">
        <v>2068</v>
      </c>
      <c r="L568" t="s">
        <v>2069</v>
      </c>
      <c r="M568">
        <v>3.1</v>
      </c>
      <c r="N568" t="s">
        <v>96</v>
      </c>
      <c r="O568" t="s">
        <v>2076</v>
      </c>
      <c r="P568">
        <v>0.91</v>
      </c>
      <c r="Q568" s="2">
        <v>0.91</v>
      </c>
      <c r="S568" s="5">
        <v>3.0333333333333299E-2</v>
      </c>
    </row>
    <row r="569" spans="1:19" x14ac:dyDescent="0.3">
      <c r="A569" t="s">
        <v>1201</v>
      </c>
      <c r="B569" t="s">
        <v>1202</v>
      </c>
      <c r="C569" t="s">
        <v>111</v>
      </c>
      <c r="D569" t="s">
        <v>80</v>
      </c>
      <c r="E569">
        <v>30</v>
      </c>
      <c r="F569" t="s">
        <v>16</v>
      </c>
      <c r="G569" t="s">
        <v>17</v>
      </c>
      <c r="H569" t="s">
        <v>18</v>
      </c>
      <c r="I569">
        <v>11</v>
      </c>
      <c r="J569" s="1">
        <v>40</v>
      </c>
      <c r="K569" t="s">
        <v>2067</v>
      </c>
      <c r="M569">
        <v>1</v>
      </c>
      <c r="N569" t="s">
        <v>53</v>
      </c>
      <c r="O569" t="s">
        <v>2077</v>
      </c>
      <c r="P569">
        <v>0.9</v>
      </c>
      <c r="Q569" s="2">
        <v>0.9</v>
      </c>
      <c r="S569" s="5">
        <v>2.2499999999999999E-2</v>
      </c>
    </row>
    <row r="570" spans="1:19" x14ac:dyDescent="0.3">
      <c r="A570" t="s">
        <v>1203</v>
      </c>
      <c r="B570" t="s">
        <v>1204</v>
      </c>
      <c r="C570" t="s">
        <v>111</v>
      </c>
      <c r="D570" t="s">
        <v>80</v>
      </c>
      <c r="E570">
        <v>47</v>
      </c>
      <c r="F570" t="s">
        <v>139</v>
      </c>
      <c r="G570" t="s">
        <v>59</v>
      </c>
      <c r="H570" t="s">
        <v>63</v>
      </c>
      <c r="I570">
        <v>18</v>
      </c>
      <c r="J570" s="1">
        <v>40</v>
      </c>
      <c r="K570" t="s">
        <v>2067</v>
      </c>
      <c r="M570">
        <v>3.4</v>
      </c>
      <c r="N570">
        <v>0</v>
      </c>
      <c r="O570" t="s">
        <v>2077</v>
      </c>
      <c r="P570">
        <v>60</v>
      </c>
      <c r="Q570" s="2">
        <v>0.6</v>
      </c>
      <c r="R570">
        <v>0.6</v>
      </c>
      <c r="S570" s="5">
        <v>1.4999999999999999E-2</v>
      </c>
    </row>
    <row r="571" spans="1:19" x14ac:dyDescent="0.3">
      <c r="A571" t="s">
        <v>1205</v>
      </c>
      <c r="B571" t="s">
        <v>1206</v>
      </c>
      <c r="C571" t="s">
        <v>76</v>
      </c>
      <c r="D571" t="s">
        <v>80</v>
      </c>
      <c r="E571">
        <v>21</v>
      </c>
      <c r="F571" t="s">
        <v>27</v>
      </c>
      <c r="G571" t="s">
        <v>28</v>
      </c>
      <c r="H571" t="s">
        <v>39</v>
      </c>
      <c r="I571">
        <v>0</v>
      </c>
      <c r="J571" s="1">
        <v>20</v>
      </c>
      <c r="K571" t="s">
        <v>2065</v>
      </c>
      <c r="L571" t="s">
        <v>2072</v>
      </c>
      <c r="M571">
        <v>3.8</v>
      </c>
      <c r="N571">
        <v>1</v>
      </c>
      <c r="O571" t="s">
        <v>2076</v>
      </c>
      <c r="P571">
        <v>0.61</v>
      </c>
      <c r="Q571" s="2">
        <v>0.61</v>
      </c>
      <c r="S571" s="5">
        <v>3.0499999999999999E-2</v>
      </c>
    </row>
    <row r="572" spans="1:19" x14ac:dyDescent="0.3">
      <c r="A572" t="s">
        <v>1207</v>
      </c>
      <c r="B572" t="s">
        <v>1208</v>
      </c>
      <c r="C572" t="s">
        <v>76</v>
      </c>
      <c r="D572" t="s">
        <v>80</v>
      </c>
      <c r="E572">
        <v>38</v>
      </c>
      <c r="F572" t="s">
        <v>254</v>
      </c>
      <c r="G572" t="s">
        <v>255</v>
      </c>
      <c r="H572" t="s">
        <v>33</v>
      </c>
      <c r="I572">
        <v>18</v>
      </c>
      <c r="J572" s="1">
        <v>40</v>
      </c>
      <c r="K572" t="s">
        <v>2068</v>
      </c>
      <c r="L572" t="s">
        <v>2067</v>
      </c>
      <c r="M572">
        <v>4.9000000000000004</v>
      </c>
      <c r="N572" t="b">
        <v>0</v>
      </c>
      <c r="O572" t="s">
        <v>2077</v>
      </c>
      <c r="P572">
        <v>0.74</v>
      </c>
      <c r="Q572" s="2">
        <v>0.74</v>
      </c>
      <c r="S572" s="5">
        <v>1.8499999999999999E-2</v>
      </c>
    </row>
    <row r="573" spans="1:19" x14ac:dyDescent="0.3">
      <c r="A573" t="s">
        <v>1209</v>
      </c>
      <c r="B573" t="s">
        <v>1210</v>
      </c>
      <c r="C573" t="s">
        <v>111</v>
      </c>
      <c r="D573" t="s">
        <v>80</v>
      </c>
      <c r="E573">
        <v>26</v>
      </c>
      <c r="F573" t="s">
        <v>50</v>
      </c>
      <c r="G573" t="s">
        <v>51</v>
      </c>
      <c r="H573" t="s">
        <v>66</v>
      </c>
      <c r="I573">
        <v>8</v>
      </c>
      <c r="J573" s="1">
        <v>20</v>
      </c>
      <c r="K573" t="s">
        <v>2068</v>
      </c>
      <c r="L573" t="s">
        <v>2072</v>
      </c>
      <c r="M573">
        <v>4.0999999999999996</v>
      </c>
      <c r="N573" t="s">
        <v>19</v>
      </c>
      <c r="O573" t="s">
        <v>2076</v>
      </c>
      <c r="P573">
        <v>0.82</v>
      </c>
      <c r="Q573" s="2">
        <v>0.82</v>
      </c>
      <c r="S573" s="5">
        <v>4.1000000000000002E-2</v>
      </c>
    </row>
    <row r="574" spans="1:19" x14ac:dyDescent="0.3">
      <c r="A574" t="s">
        <v>1211</v>
      </c>
      <c r="B574" t="s">
        <v>1212</v>
      </c>
      <c r="C574" t="s">
        <v>111</v>
      </c>
      <c r="D574" t="s">
        <v>80</v>
      </c>
      <c r="E574">
        <v>40</v>
      </c>
      <c r="F574" t="s">
        <v>101</v>
      </c>
      <c r="G574" t="s">
        <v>59</v>
      </c>
      <c r="H574" t="s">
        <v>66</v>
      </c>
      <c r="I574">
        <v>0</v>
      </c>
      <c r="J574" s="1">
        <v>100</v>
      </c>
      <c r="K574" t="s">
        <v>2065</v>
      </c>
      <c r="L574" t="s">
        <v>2070</v>
      </c>
      <c r="M574">
        <v>1.2</v>
      </c>
      <c r="P574">
        <v>0.87</v>
      </c>
      <c r="Q574" s="2">
        <v>0.87</v>
      </c>
      <c r="S574" s="5">
        <v>8.6999999999999994E-3</v>
      </c>
    </row>
    <row r="575" spans="1:19" x14ac:dyDescent="0.3">
      <c r="A575" t="s">
        <v>1213</v>
      </c>
      <c r="B575" t="s">
        <v>1214</v>
      </c>
      <c r="C575" t="s">
        <v>111</v>
      </c>
      <c r="D575" t="s">
        <v>80</v>
      </c>
      <c r="E575">
        <v>53</v>
      </c>
      <c r="F575" t="s">
        <v>83</v>
      </c>
      <c r="G575" t="s">
        <v>84</v>
      </c>
      <c r="H575" t="s">
        <v>79</v>
      </c>
      <c r="I575">
        <v>16</v>
      </c>
      <c r="J575" s="1">
        <v>40</v>
      </c>
      <c r="K575" t="s">
        <v>2067</v>
      </c>
      <c r="M575">
        <v>0</v>
      </c>
      <c r="N575" t="s">
        <v>67</v>
      </c>
      <c r="O575" t="s">
        <v>2077</v>
      </c>
    </row>
    <row r="576" spans="1:19" x14ac:dyDescent="0.3">
      <c r="A576" t="s">
        <v>1215</v>
      </c>
      <c r="B576" t="s">
        <v>1216</v>
      </c>
      <c r="C576" t="s">
        <v>36</v>
      </c>
      <c r="D576" t="s">
        <v>20</v>
      </c>
      <c r="E576">
        <v>32</v>
      </c>
      <c r="F576" t="s">
        <v>87</v>
      </c>
      <c r="G576" t="s">
        <v>88</v>
      </c>
      <c r="H576" t="s">
        <v>63</v>
      </c>
      <c r="I576">
        <v>10</v>
      </c>
      <c r="J576" s="1">
        <v>50</v>
      </c>
      <c r="K576" t="s">
        <v>2071</v>
      </c>
      <c r="M576">
        <v>1.2</v>
      </c>
      <c r="N576" t="b">
        <v>0</v>
      </c>
      <c r="O576" t="s">
        <v>2077</v>
      </c>
      <c r="P576">
        <v>0.89</v>
      </c>
      <c r="Q576" s="2">
        <v>0.89</v>
      </c>
      <c r="S576" s="5">
        <v>1.78E-2</v>
      </c>
    </row>
    <row r="577" spans="1:19" x14ac:dyDescent="0.3">
      <c r="A577" t="s">
        <v>1217</v>
      </c>
      <c r="B577" t="s">
        <v>1218</v>
      </c>
      <c r="C577" t="s">
        <v>36</v>
      </c>
      <c r="D577" t="s">
        <v>20</v>
      </c>
      <c r="E577">
        <v>23</v>
      </c>
      <c r="F577" t="s">
        <v>101</v>
      </c>
      <c r="G577" t="s">
        <v>59</v>
      </c>
      <c r="H577" t="s">
        <v>66</v>
      </c>
      <c r="I577">
        <v>1</v>
      </c>
      <c r="J577" s="1">
        <v>20</v>
      </c>
      <c r="K577" t="s">
        <v>2068</v>
      </c>
      <c r="L577" t="s">
        <v>2072</v>
      </c>
      <c r="M577">
        <v>4</v>
      </c>
      <c r="N577" t="s">
        <v>96</v>
      </c>
      <c r="O577" t="s">
        <v>2076</v>
      </c>
      <c r="P577">
        <v>100</v>
      </c>
      <c r="Q577" s="2">
        <v>1</v>
      </c>
      <c r="R577">
        <v>1</v>
      </c>
      <c r="S577" s="5">
        <v>0.05</v>
      </c>
    </row>
    <row r="578" spans="1:19" x14ac:dyDescent="0.3">
      <c r="A578" t="s">
        <v>1219</v>
      </c>
      <c r="B578" t="s">
        <v>1220</v>
      </c>
      <c r="C578" t="s">
        <v>15</v>
      </c>
      <c r="D578" t="s">
        <v>20</v>
      </c>
      <c r="E578">
        <v>51</v>
      </c>
      <c r="F578" t="s">
        <v>27</v>
      </c>
      <c r="G578" t="s">
        <v>28</v>
      </c>
      <c r="H578" t="s">
        <v>47</v>
      </c>
      <c r="I578">
        <v>33</v>
      </c>
      <c r="J578" s="1">
        <v>75</v>
      </c>
      <c r="K578" t="s">
        <v>2066</v>
      </c>
      <c r="M578">
        <v>3.3</v>
      </c>
      <c r="P578">
        <v>0.68</v>
      </c>
      <c r="Q578" s="2">
        <v>0.68</v>
      </c>
      <c r="S578" s="5">
        <v>9.0666666666666708E-3</v>
      </c>
    </row>
    <row r="579" spans="1:19" x14ac:dyDescent="0.3">
      <c r="A579" t="s">
        <v>1221</v>
      </c>
      <c r="B579" t="s">
        <v>1222</v>
      </c>
      <c r="C579" t="s">
        <v>36</v>
      </c>
      <c r="D579" t="s">
        <v>20</v>
      </c>
      <c r="E579">
        <v>33</v>
      </c>
      <c r="F579" t="s">
        <v>37</v>
      </c>
      <c r="G579" t="s">
        <v>38</v>
      </c>
      <c r="H579" t="s">
        <v>33</v>
      </c>
      <c r="I579">
        <v>8</v>
      </c>
      <c r="J579" s="1">
        <v>75</v>
      </c>
      <c r="K579" t="s">
        <v>2068</v>
      </c>
      <c r="L579" t="s">
        <v>2066</v>
      </c>
      <c r="M579">
        <v>2.2999999999999998</v>
      </c>
      <c r="N579" t="b">
        <v>1</v>
      </c>
      <c r="O579" t="s">
        <v>2076</v>
      </c>
      <c r="P579">
        <v>0.68</v>
      </c>
      <c r="Q579" s="2">
        <v>0.68</v>
      </c>
      <c r="S579" s="5">
        <v>9.0666666666666708E-3</v>
      </c>
    </row>
    <row r="580" spans="1:19" x14ac:dyDescent="0.3">
      <c r="A580" t="s">
        <v>1223</v>
      </c>
      <c r="B580" t="s">
        <v>1224</v>
      </c>
      <c r="C580" t="s">
        <v>36</v>
      </c>
      <c r="D580" t="s">
        <v>20</v>
      </c>
      <c r="E580">
        <v>39</v>
      </c>
      <c r="F580" t="s">
        <v>27</v>
      </c>
      <c r="G580" t="s">
        <v>28</v>
      </c>
      <c r="H580" t="s">
        <v>39</v>
      </c>
      <c r="I580">
        <v>21</v>
      </c>
      <c r="J580" s="1">
        <v>100</v>
      </c>
      <c r="K580" t="s">
        <v>2070</v>
      </c>
      <c r="M580">
        <v>2.2000000000000002</v>
      </c>
      <c r="N580">
        <v>0</v>
      </c>
      <c r="O580" t="s">
        <v>2077</v>
      </c>
      <c r="P580">
        <v>0.79</v>
      </c>
      <c r="Q580" s="2">
        <v>0.79</v>
      </c>
      <c r="S580" s="5">
        <v>7.9000000000000008E-3</v>
      </c>
    </row>
    <row r="581" spans="1:19" x14ac:dyDescent="0.3">
      <c r="A581" t="s">
        <v>1225</v>
      </c>
      <c r="B581" t="s">
        <v>1226</v>
      </c>
      <c r="C581" t="s">
        <v>15</v>
      </c>
      <c r="D581" t="s">
        <v>20</v>
      </c>
      <c r="E581">
        <v>38</v>
      </c>
      <c r="F581" t="s">
        <v>254</v>
      </c>
      <c r="G581" t="s">
        <v>255</v>
      </c>
      <c r="H581" t="s">
        <v>39</v>
      </c>
      <c r="I581">
        <v>14</v>
      </c>
      <c r="J581" s="1">
        <v>75</v>
      </c>
      <c r="K581" t="s">
        <v>2066</v>
      </c>
      <c r="M581">
        <v>1.5</v>
      </c>
      <c r="N581" t="s">
        <v>53</v>
      </c>
      <c r="O581" t="s">
        <v>2077</v>
      </c>
      <c r="P581">
        <v>0.62</v>
      </c>
      <c r="Q581" s="2">
        <v>0.62</v>
      </c>
      <c r="S581" s="5">
        <v>8.2666666666666704E-3</v>
      </c>
    </row>
    <row r="582" spans="1:19" x14ac:dyDescent="0.3">
      <c r="A582" t="s">
        <v>1227</v>
      </c>
      <c r="B582" t="s">
        <v>1228</v>
      </c>
      <c r="C582" t="s">
        <v>36</v>
      </c>
      <c r="D582" t="s">
        <v>20</v>
      </c>
      <c r="E582">
        <v>29</v>
      </c>
      <c r="F582" t="s">
        <v>104</v>
      </c>
      <c r="G582" t="s">
        <v>105</v>
      </c>
      <c r="H582" t="s">
        <v>63</v>
      </c>
      <c r="I582">
        <v>1</v>
      </c>
      <c r="J582" s="1">
        <v>20</v>
      </c>
      <c r="K582" t="s">
        <v>2072</v>
      </c>
      <c r="M582">
        <v>1.4</v>
      </c>
      <c r="N582">
        <v>1</v>
      </c>
      <c r="O582" t="s">
        <v>2076</v>
      </c>
      <c r="P582">
        <v>0.63</v>
      </c>
      <c r="Q582" s="2">
        <v>0.63</v>
      </c>
      <c r="S582" s="5">
        <v>3.15E-2</v>
      </c>
    </row>
    <row r="583" spans="1:19" x14ac:dyDescent="0.3">
      <c r="A583" t="s">
        <v>1229</v>
      </c>
      <c r="B583" t="s">
        <v>1230</v>
      </c>
      <c r="C583" t="s">
        <v>15</v>
      </c>
      <c r="D583" t="s">
        <v>20</v>
      </c>
      <c r="E583">
        <v>32</v>
      </c>
      <c r="F583" t="s">
        <v>46</v>
      </c>
      <c r="G583" t="s">
        <v>17</v>
      </c>
      <c r="H583" t="s">
        <v>108</v>
      </c>
      <c r="I583">
        <v>3</v>
      </c>
      <c r="J583" s="1">
        <v>30</v>
      </c>
      <c r="K583" t="s">
        <v>2065</v>
      </c>
      <c r="L583" t="s">
        <v>2069</v>
      </c>
      <c r="M583">
        <v>1.5</v>
      </c>
      <c r="N583" t="s">
        <v>53</v>
      </c>
      <c r="O583" t="s">
        <v>2077</v>
      </c>
      <c r="P583">
        <v>0.96</v>
      </c>
      <c r="Q583" s="2">
        <v>0.96</v>
      </c>
      <c r="S583" s="5">
        <v>3.2000000000000001E-2</v>
      </c>
    </row>
    <row r="584" spans="1:19" x14ac:dyDescent="0.3">
      <c r="A584" t="s">
        <v>1231</v>
      </c>
      <c r="B584" t="s">
        <v>1232</v>
      </c>
      <c r="C584" t="s">
        <v>36</v>
      </c>
      <c r="D584" t="s">
        <v>20</v>
      </c>
      <c r="E584">
        <v>50</v>
      </c>
      <c r="F584" t="s">
        <v>58</v>
      </c>
      <c r="G584" t="s">
        <v>59</v>
      </c>
      <c r="H584" t="s">
        <v>108</v>
      </c>
      <c r="I584">
        <v>15</v>
      </c>
      <c r="M584">
        <v>2</v>
      </c>
      <c r="N584" t="s">
        <v>19</v>
      </c>
      <c r="O584" t="s">
        <v>2076</v>
      </c>
      <c r="P584">
        <v>0.65</v>
      </c>
      <c r="Q584" s="2">
        <v>0.65</v>
      </c>
    </row>
    <row r="585" spans="1:19" x14ac:dyDescent="0.3">
      <c r="A585" t="s">
        <v>1233</v>
      </c>
      <c r="B585" t="s">
        <v>1234</v>
      </c>
      <c r="C585" t="s">
        <v>15</v>
      </c>
      <c r="D585" t="s">
        <v>20</v>
      </c>
      <c r="E585">
        <v>51</v>
      </c>
      <c r="F585" t="s">
        <v>101</v>
      </c>
      <c r="G585" t="s">
        <v>59</v>
      </c>
      <c r="H585" t="s">
        <v>79</v>
      </c>
      <c r="I585">
        <v>21</v>
      </c>
      <c r="J585" s="1">
        <v>20</v>
      </c>
      <c r="K585" t="s">
        <v>2072</v>
      </c>
      <c r="N585" t="s">
        <v>96</v>
      </c>
      <c r="O585" t="s">
        <v>2076</v>
      </c>
    </row>
    <row r="586" spans="1:19" x14ac:dyDescent="0.3">
      <c r="A586" t="s">
        <v>1235</v>
      </c>
      <c r="B586" t="s">
        <v>1236</v>
      </c>
      <c r="C586" t="s">
        <v>76</v>
      </c>
      <c r="D586" t="s">
        <v>80</v>
      </c>
      <c r="E586">
        <v>59</v>
      </c>
      <c r="F586" t="s">
        <v>58</v>
      </c>
      <c r="G586" t="s">
        <v>59</v>
      </c>
      <c r="H586" t="s">
        <v>63</v>
      </c>
      <c r="I586">
        <v>40</v>
      </c>
      <c r="J586" s="1">
        <v>100</v>
      </c>
      <c r="K586" t="s">
        <v>2070</v>
      </c>
      <c r="M586">
        <v>2.6</v>
      </c>
    </row>
    <row r="587" spans="1:19" x14ac:dyDescent="0.3">
      <c r="A587" t="s">
        <v>1237</v>
      </c>
      <c r="B587" t="s">
        <v>1238</v>
      </c>
      <c r="C587" t="s">
        <v>76</v>
      </c>
      <c r="D587" t="s">
        <v>80</v>
      </c>
      <c r="E587">
        <v>34</v>
      </c>
      <c r="F587" t="s">
        <v>101</v>
      </c>
      <c r="G587" t="s">
        <v>59</v>
      </c>
      <c r="H587" t="s">
        <v>33</v>
      </c>
      <c r="I587">
        <v>2</v>
      </c>
      <c r="J587" s="1">
        <v>100</v>
      </c>
      <c r="K587" t="s">
        <v>2070</v>
      </c>
      <c r="M587">
        <v>0</v>
      </c>
      <c r="N587">
        <v>0</v>
      </c>
      <c r="O587" t="s">
        <v>2077</v>
      </c>
      <c r="P587">
        <v>86</v>
      </c>
      <c r="Q587" s="2">
        <v>0.86</v>
      </c>
      <c r="R587">
        <v>0.86</v>
      </c>
      <c r="S587" s="5">
        <v>8.6E-3</v>
      </c>
    </row>
    <row r="588" spans="1:19" x14ac:dyDescent="0.3">
      <c r="A588" t="s">
        <v>1239</v>
      </c>
      <c r="B588" t="s">
        <v>1240</v>
      </c>
      <c r="C588" t="s">
        <v>76</v>
      </c>
      <c r="D588" t="s">
        <v>80</v>
      </c>
      <c r="E588">
        <v>30</v>
      </c>
      <c r="F588" t="s">
        <v>58</v>
      </c>
      <c r="G588" t="s">
        <v>59</v>
      </c>
      <c r="H588" t="s">
        <v>66</v>
      </c>
      <c r="I588">
        <v>8</v>
      </c>
      <c r="J588" s="1">
        <v>100</v>
      </c>
      <c r="K588" t="s">
        <v>2070</v>
      </c>
      <c r="M588">
        <v>1.4</v>
      </c>
      <c r="N588" t="s">
        <v>19</v>
      </c>
      <c r="O588" t="s">
        <v>2076</v>
      </c>
      <c r="P588">
        <v>62</v>
      </c>
      <c r="Q588" s="2">
        <v>0.62</v>
      </c>
      <c r="R588">
        <v>0.62</v>
      </c>
      <c r="S588" s="5">
        <v>6.1999999999999998E-3</v>
      </c>
    </row>
    <row r="589" spans="1:19" x14ac:dyDescent="0.3">
      <c r="A589" t="s">
        <v>1241</v>
      </c>
      <c r="B589" t="s">
        <v>1242</v>
      </c>
      <c r="C589" t="s">
        <v>76</v>
      </c>
      <c r="D589" t="s">
        <v>80</v>
      </c>
      <c r="E589">
        <v>39</v>
      </c>
      <c r="F589" t="s">
        <v>101</v>
      </c>
      <c r="G589" t="s">
        <v>59</v>
      </c>
      <c r="H589" t="s">
        <v>66</v>
      </c>
      <c r="I589">
        <v>13</v>
      </c>
      <c r="J589" s="1">
        <v>30</v>
      </c>
      <c r="K589" t="s">
        <v>2065</v>
      </c>
      <c r="L589" t="s">
        <v>2069</v>
      </c>
      <c r="M589">
        <v>2.5</v>
      </c>
      <c r="N589" t="b">
        <v>0</v>
      </c>
      <c r="O589" t="s">
        <v>2077</v>
      </c>
      <c r="P589">
        <v>0.6</v>
      </c>
      <c r="Q589" s="2">
        <v>0.6</v>
      </c>
      <c r="S589" s="5">
        <v>0.02</v>
      </c>
    </row>
    <row r="590" spans="1:19" x14ac:dyDescent="0.3">
      <c r="A590" t="s">
        <v>1243</v>
      </c>
      <c r="B590" t="s">
        <v>1244</v>
      </c>
      <c r="C590" t="s">
        <v>76</v>
      </c>
      <c r="D590" t="s">
        <v>80</v>
      </c>
      <c r="E590">
        <v>22</v>
      </c>
      <c r="F590" t="s">
        <v>158</v>
      </c>
      <c r="G590" t="s">
        <v>159</v>
      </c>
      <c r="H590" t="s">
        <v>33</v>
      </c>
      <c r="I590">
        <v>1</v>
      </c>
      <c r="J590" s="1">
        <v>50</v>
      </c>
      <c r="K590" t="s">
        <v>2071</v>
      </c>
      <c r="M590">
        <v>0</v>
      </c>
      <c r="P590">
        <v>0.98</v>
      </c>
      <c r="Q590" s="2">
        <v>0.98</v>
      </c>
      <c r="S590" s="5">
        <v>1.9599999999999999E-2</v>
      </c>
    </row>
    <row r="591" spans="1:19" x14ac:dyDescent="0.3">
      <c r="A591" t="s">
        <v>1245</v>
      </c>
      <c r="B591" t="s">
        <v>1246</v>
      </c>
      <c r="C591" t="s">
        <v>111</v>
      </c>
      <c r="D591" t="s">
        <v>80</v>
      </c>
      <c r="E591">
        <v>26</v>
      </c>
      <c r="F591" t="s">
        <v>58</v>
      </c>
      <c r="G591" t="s">
        <v>59</v>
      </c>
      <c r="H591" t="s">
        <v>66</v>
      </c>
      <c r="I591">
        <v>8</v>
      </c>
      <c r="J591" s="1">
        <v>50</v>
      </c>
      <c r="K591" t="s">
        <v>2071</v>
      </c>
      <c r="M591">
        <v>1.3</v>
      </c>
      <c r="N591" t="b">
        <v>0</v>
      </c>
      <c r="O591" t="s">
        <v>2077</v>
      </c>
      <c r="P591">
        <v>0.76</v>
      </c>
      <c r="Q591" s="2">
        <v>0.76</v>
      </c>
      <c r="S591" s="5">
        <v>1.52E-2</v>
      </c>
    </row>
    <row r="592" spans="1:19" x14ac:dyDescent="0.3">
      <c r="A592" t="s">
        <v>1247</v>
      </c>
      <c r="B592" t="s">
        <v>1248</v>
      </c>
      <c r="C592" t="s">
        <v>76</v>
      </c>
      <c r="D592" t="s">
        <v>80</v>
      </c>
      <c r="E592">
        <v>25</v>
      </c>
      <c r="F592" t="s">
        <v>91</v>
      </c>
      <c r="G592" t="s">
        <v>59</v>
      </c>
      <c r="H592" t="s">
        <v>18</v>
      </c>
      <c r="I592">
        <v>6</v>
      </c>
      <c r="J592" s="1">
        <v>100</v>
      </c>
      <c r="K592" t="s">
        <v>2065</v>
      </c>
      <c r="L592" t="s">
        <v>2070</v>
      </c>
      <c r="N592" t="s">
        <v>96</v>
      </c>
      <c r="O592" t="s">
        <v>2076</v>
      </c>
      <c r="P592">
        <v>78</v>
      </c>
      <c r="Q592" s="2">
        <v>0.78</v>
      </c>
      <c r="R592">
        <v>0.78</v>
      </c>
      <c r="S592" s="5">
        <v>7.7999999999999996E-3</v>
      </c>
    </row>
    <row r="593" spans="1:19" x14ac:dyDescent="0.3">
      <c r="A593" t="s">
        <v>1249</v>
      </c>
      <c r="B593" t="s">
        <v>1250</v>
      </c>
      <c r="C593" t="s">
        <v>76</v>
      </c>
      <c r="D593" t="s">
        <v>80</v>
      </c>
      <c r="E593">
        <v>50</v>
      </c>
      <c r="F593" t="s">
        <v>254</v>
      </c>
      <c r="G593" t="s">
        <v>255</v>
      </c>
      <c r="H593" t="s">
        <v>33</v>
      </c>
      <c r="I593">
        <v>16</v>
      </c>
      <c r="J593" s="1">
        <v>75</v>
      </c>
      <c r="K593" t="s">
        <v>2065</v>
      </c>
      <c r="L593" t="s">
        <v>2066</v>
      </c>
      <c r="M593">
        <v>4.5</v>
      </c>
      <c r="N593">
        <v>0</v>
      </c>
      <c r="O593" t="s">
        <v>2077</v>
      </c>
      <c r="P593">
        <v>69</v>
      </c>
      <c r="Q593" s="2">
        <v>0.69</v>
      </c>
      <c r="R593">
        <v>0.69</v>
      </c>
      <c r="S593" s="5">
        <v>9.1999999999999998E-3</v>
      </c>
    </row>
    <row r="594" spans="1:19" x14ac:dyDescent="0.3">
      <c r="A594" t="s">
        <v>1251</v>
      </c>
      <c r="B594" t="s">
        <v>1252</v>
      </c>
      <c r="C594" t="s">
        <v>76</v>
      </c>
      <c r="D594" t="s">
        <v>80</v>
      </c>
      <c r="E594">
        <v>37</v>
      </c>
      <c r="F594" t="s">
        <v>254</v>
      </c>
      <c r="G594" t="s">
        <v>255</v>
      </c>
      <c r="H594" t="s">
        <v>66</v>
      </c>
      <c r="J594" s="1">
        <v>75</v>
      </c>
      <c r="K594" t="s">
        <v>2068</v>
      </c>
      <c r="L594" t="s">
        <v>2066</v>
      </c>
      <c r="M594">
        <v>3.5</v>
      </c>
      <c r="N594" t="s">
        <v>53</v>
      </c>
      <c r="O594" t="s">
        <v>2077</v>
      </c>
      <c r="P594">
        <v>0.75</v>
      </c>
      <c r="Q594" s="2">
        <v>0.75</v>
      </c>
      <c r="S594" s="5">
        <v>0.01</v>
      </c>
    </row>
    <row r="595" spans="1:19" x14ac:dyDescent="0.3">
      <c r="A595" t="s">
        <v>1253</v>
      </c>
      <c r="B595" t="s">
        <v>1254</v>
      </c>
      <c r="C595" t="s">
        <v>111</v>
      </c>
      <c r="D595" t="s">
        <v>80</v>
      </c>
      <c r="E595">
        <v>50</v>
      </c>
      <c r="F595" t="s">
        <v>118</v>
      </c>
      <c r="G595" t="s">
        <v>119</v>
      </c>
      <c r="H595" t="s">
        <v>52</v>
      </c>
      <c r="I595">
        <v>18</v>
      </c>
      <c r="J595" s="1">
        <v>75</v>
      </c>
      <c r="K595" t="s">
        <v>2066</v>
      </c>
      <c r="M595">
        <v>3.8</v>
      </c>
      <c r="N595">
        <v>0</v>
      </c>
      <c r="O595" t="s">
        <v>2077</v>
      </c>
      <c r="P595">
        <v>67</v>
      </c>
      <c r="Q595" s="2">
        <v>0.67</v>
      </c>
      <c r="R595">
        <v>0.67</v>
      </c>
      <c r="S595" s="5">
        <v>8.9333333333333296E-3</v>
      </c>
    </row>
    <row r="596" spans="1:19" x14ac:dyDescent="0.3">
      <c r="A596" t="s">
        <v>1255</v>
      </c>
      <c r="B596" t="s">
        <v>1256</v>
      </c>
      <c r="C596" t="s">
        <v>76</v>
      </c>
      <c r="D596" t="s">
        <v>80</v>
      </c>
      <c r="E596">
        <v>38</v>
      </c>
      <c r="F596" t="s">
        <v>37</v>
      </c>
      <c r="G596" t="s">
        <v>38</v>
      </c>
      <c r="H596" t="s">
        <v>39</v>
      </c>
      <c r="I596">
        <v>14</v>
      </c>
      <c r="J596" s="1">
        <v>100</v>
      </c>
      <c r="K596" t="s">
        <v>2070</v>
      </c>
      <c r="M596">
        <v>1.7</v>
      </c>
      <c r="N596" t="b">
        <v>0</v>
      </c>
      <c r="O596" t="s">
        <v>2077</v>
      </c>
      <c r="P596">
        <v>0.66</v>
      </c>
      <c r="Q596" s="2">
        <v>0.66</v>
      </c>
      <c r="S596" s="5">
        <v>6.6E-3</v>
      </c>
    </row>
    <row r="597" spans="1:19" x14ac:dyDescent="0.3">
      <c r="A597" t="s">
        <v>1257</v>
      </c>
      <c r="B597" t="s">
        <v>1258</v>
      </c>
      <c r="C597" t="s">
        <v>76</v>
      </c>
      <c r="D597" t="s">
        <v>80</v>
      </c>
      <c r="E597">
        <v>46</v>
      </c>
      <c r="F597" t="s">
        <v>42</v>
      </c>
      <c r="G597" t="s">
        <v>43</v>
      </c>
      <c r="H597" t="s">
        <v>47</v>
      </c>
      <c r="I597">
        <v>12</v>
      </c>
      <c r="J597" s="1">
        <v>20</v>
      </c>
      <c r="K597" t="s">
        <v>2072</v>
      </c>
      <c r="M597">
        <v>0</v>
      </c>
      <c r="N597" t="b">
        <v>0</v>
      </c>
      <c r="O597" t="s">
        <v>2077</v>
      </c>
      <c r="P597">
        <v>0.89</v>
      </c>
      <c r="Q597" s="2">
        <v>0.89</v>
      </c>
      <c r="S597" s="5">
        <v>4.4499999999999998E-2</v>
      </c>
    </row>
    <row r="598" spans="1:19" x14ac:dyDescent="0.3">
      <c r="A598" t="s">
        <v>1259</v>
      </c>
      <c r="B598" t="s">
        <v>1260</v>
      </c>
      <c r="C598" t="s">
        <v>111</v>
      </c>
      <c r="D598" t="s">
        <v>80</v>
      </c>
      <c r="E598">
        <v>36</v>
      </c>
      <c r="F598" t="s">
        <v>139</v>
      </c>
      <c r="G598" t="s">
        <v>59</v>
      </c>
      <c r="H598" t="s">
        <v>47</v>
      </c>
      <c r="I598">
        <v>9</v>
      </c>
      <c r="J598" s="1">
        <v>20</v>
      </c>
      <c r="K598" t="s">
        <v>2072</v>
      </c>
      <c r="M598">
        <v>0</v>
      </c>
      <c r="N598">
        <v>1</v>
      </c>
      <c r="O598" t="s">
        <v>2076</v>
      </c>
      <c r="P598">
        <v>68</v>
      </c>
      <c r="Q598" s="2">
        <v>0.68</v>
      </c>
      <c r="R598">
        <v>0.68</v>
      </c>
      <c r="S598" s="5">
        <v>3.4000000000000002E-2</v>
      </c>
    </row>
    <row r="599" spans="1:19" x14ac:dyDescent="0.3">
      <c r="A599" t="s">
        <v>1261</v>
      </c>
      <c r="B599" t="s">
        <v>1262</v>
      </c>
      <c r="C599" t="s">
        <v>111</v>
      </c>
      <c r="D599" t="s">
        <v>80</v>
      </c>
      <c r="E599">
        <v>58</v>
      </c>
      <c r="F599" t="s">
        <v>31</v>
      </c>
      <c r="G599" t="s">
        <v>32</v>
      </c>
      <c r="H599" t="s">
        <v>33</v>
      </c>
      <c r="I599">
        <v>35</v>
      </c>
      <c r="J599" s="1">
        <v>50</v>
      </c>
      <c r="K599" t="s">
        <v>2068</v>
      </c>
      <c r="L599" t="s">
        <v>2071</v>
      </c>
      <c r="M599">
        <v>4.7</v>
      </c>
      <c r="N599" t="s">
        <v>67</v>
      </c>
      <c r="O599" t="s">
        <v>2077</v>
      </c>
      <c r="P599">
        <v>0.7</v>
      </c>
      <c r="Q599" s="2">
        <v>0.7</v>
      </c>
      <c r="S599" s="5">
        <v>1.4E-2</v>
      </c>
    </row>
    <row r="600" spans="1:19" x14ac:dyDescent="0.3">
      <c r="A600" t="s">
        <v>1263</v>
      </c>
      <c r="B600" t="s">
        <v>1264</v>
      </c>
      <c r="C600" t="s">
        <v>111</v>
      </c>
      <c r="D600" t="s">
        <v>80</v>
      </c>
      <c r="E600">
        <v>48</v>
      </c>
      <c r="F600" t="s">
        <v>46</v>
      </c>
      <c r="G600" t="s">
        <v>17</v>
      </c>
      <c r="H600" t="s">
        <v>47</v>
      </c>
      <c r="I600">
        <v>6</v>
      </c>
      <c r="J600" s="1">
        <v>75</v>
      </c>
      <c r="K600" t="s">
        <v>2068</v>
      </c>
      <c r="L600" t="s">
        <v>2066</v>
      </c>
      <c r="M600">
        <v>2.5</v>
      </c>
      <c r="P600">
        <v>0.92</v>
      </c>
      <c r="Q600" s="2">
        <v>0.92</v>
      </c>
      <c r="S600" s="5">
        <v>1.22666666666667E-2</v>
      </c>
    </row>
    <row r="601" spans="1:19" x14ac:dyDescent="0.3">
      <c r="A601" t="s">
        <v>1265</v>
      </c>
      <c r="B601" t="s">
        <v>1266</v>
      </c>
      <c r="C601" t="s">
        <v>36</v>
      </c>
      <c r="D601" t="s">
        <v>20</v>
      </c>
      <c r="E601">
        <v>46</v>
      </c>
      <c r="F601" t="s">
        <v>58</v>
      </c>
      <c r="G601" t="s">
        <v>59</v>
      </c>
      <c r="H601" t="s">
        <v>60</v>
      </c>
      <c r="I601">
        <v>9</v>
      </c>
      <c r="J601" s="1">
        <v>20</v>
      </c>
      <c r="K601" t="s">
        <v>2065</v>
      </c>
      <c r="L601" t="s">
        <v>2072</v>
      </c>
      <c r="M601">
        <v>0</v>
      </c>
      <c r="N601" t="s">
        <v>53</v>
      </c>
      <c r="O601" t="s">
        <v>2077</v>
      </c>
      <c r="P601">
        <v>0.82</v>
      </c>
      <c r="Q601" s="2">
        <v>0.82</v>
      </c>
      <c r="S601" s="5">
        <v>4.1000000000000002E-2</v>
      </c>
    </row>
    <row r="602" spans="1:19" x14ac:dyDescent="0.3">
      <c r="A602" t="s">
        <v>1267</v>
      </c>
      <c r="B602" t="s">
        <v>1268</v>
      </c>
      <c r="C602" t="s">
        <v>111</v>
      </c>
      <c r="D602" t="s">
        <v>80</v>
      </c>
      <c r="E602">
        <v>37</v>
      </c>
      <c r="F602" t="s">
        <v>91</v>
      </c>
      <c r="G602" t="s">
        <v>59</v>
      </c>
      <c r="H602" t="s">
        <v>79</v>
      </c>
      <c r="I602">
        <v>9</v>
      </c>
      <c r="M602">
        <v>0</v>
      </c>
      <c r="N602">
        <v>1</v>
      </c>
      <c r="O602" t="s">
        <v>2076</v>
      </c>
      <c r="P602">
        <v>0.89</v>
      </c>
      <c r="Q602" s="2">
        <v>0.89</v>
      </c>
    </row>
    <row r="603" spans="1:19" x14ac:dyDescent="0.3">
      <c r="A603" t="s">
        <v>1269</v>
      </c>
      <c r="B603" t="s">
        <v>1270</v>
      </c>
      <c r="C603" t="s">
        <v>76</v>
      </c>
      <c r="D603" t="s">
        <v>80</v>
      </c>
      <c r="E603">
        <v>48</v>
      </c>
      <c r="F603" t="s">
        <v>46</v>
      </c>
      <c r="G603" t="s">
        <v>17</v>
      </c>
      <c r="H603" t="s">
        <v>52</v>
      </c>
      <c r="I603">
        <v>5</v>
      </c>
      <c r="J603" s="1">
        <v>30</v>
      </c>
      <c r="K603" t="s">
        <v>2069</v>
      </c>
      <c r="M603">
        <v>1.5</v>
      </c>
      <c r="N603" t="s">
        <v>53</v>
      </c>
      <c r="O603" t="s">
        <v>2077</v>
      </c>
    </row>
    <row r="604" spans="1:19" x14ac:dyDescent="0.3">
      <c r="A604" t="s">
        <v>1271</v>
      </c>
      <c r="B604" t="s">
        <v>1272</v>
      </c>
      <c r="C604" t="s">
        <v>111</v>
      </c>
      <c r="D604" t="s">
        <v>80</v>
      </c>
      <c r="E604">
        <v>44</v>
      </c>
      <c r="F604" t="s">
        <v>104</v>
      </c>
      <c r="G604" t="s">
        <v>105</v>
      </c>
      <c r="H604" t="s">
        <v>47</v>
      </c>
      <c r="I604">
        <v>19</v>
      </c>
      <c r="J604" s="1">
        <v>40</v>
      </c>
      <c r="K604" t="s">
        <v>2065</v>
      </c>
      <c r="L604" t="s">
        <v>2067</v>
      </c>
      <c r="M604">
        <v>4.9000000000000004</v>
      </c>
      <c r="N604" t="s">
        <v>53</v>
      </c>
      <c r="O604" t="s">
        <v>2077</v>
      </c>
      <c r="P604">
        <v>1</v>
      </c>
      <c r="Q604" s="2">
        <v>1</v>
      </c>
      <c r="S604" s="5">
        <v>2.5000000000000001E-2</v>
      </c>
    </row>
    <row r="605" spans="1:19" x14ac:dyDescent="0.3">
      <c r="A605" t="s">
        <v>1273</v>
      </c>
      <c r="B605" t="s">
        <v>1274</v>
      </c>
      <c r="C605" t="s">
        <v>76</v>
      </c>
      <c r="D605" t="s">
        <v>80</v>
      </c>
      <c r="E605">
        <v>47</v>
      </c>
      <c r="F605" t="s">
        <v>83</v>
      </c>
      <c r="G605" t="s">
        <v>84</v>
      </c>
      <c r="H605" t="s">
        <v>60</v>
      </c>
      <c r="I605">
        <v>16</v>
      </c>
      <c r="J605" s="1">
        <v>50</v>
      </c>
      <c r="K605" t="s">
        <v>2071</v>
      </c>
      <c r="M605">
        <v>1.9</v>
      </c>
      <c r="N605">
        <v>0</v>
      </c>
      <c r="O605" t="s">
        <v>2077</v>
      </c>
      <c r="P605">
        <v>0.71</v>
      </c>
      <c r="Q605" s="2">
        <v>0.71</v>
      </c>
      <c r="S605" s="5">
        <v>1.4200000000000001E-2</v>
      </c>
    </row>
    <row r="606" spans="1:19" x14ac:dyDescent="0.3">
      <c r="A606" t="s">
        <v>1275</v>
      </c>
      <c r="B606" t="s">
        <v>1276</v>
      </c>
      <c r="C606" t="s">
        <v>111</v>
      </c>
      <c r="D606" t="s">
        <v>80</v>
      </c>
      <c r="E606">
        <v>36</v>
      </c>
      <c r="F606" t="s">
        <v>104</v>
      </c>
      <c r="G606" t="s">
        <v>105</v>
      </c>
      <c r="H606" t="s">
        <v>60</v>
      </c>
      <c r="I606">
        <v>11</v>
      </c>
      <c r="J606" s="1">
        <v>30</v>
      </c>
      <c r="K606" t="s">
        <v>2065</v>
      </c>
      <c r="L606" t="s">
        <v>2069</v>
      </c>
      <c r="M606">
        <v>0</v>
      </c>
      <c r="N606" t="b">
        <v>1</v>
      </c>
      <c r="O606" t="s">
        <v>2076</v>
      </c>
      <c r="P606">
        <v>0.63</v>
      </c>
      <c r="Q606" s="2">
        <v>0.63</v>
      </c>
      <c r="S606" s="5">
        <v>2.1000000000000001E-2</v>
      </c>
    </row>
    <row r="607" spans="1:19" x14ac:dyDescent="0.3">
      <c r="A607" t="s">
        <v>1277</v>
      </c>
      <c r="B607" t="s">
        <v>1278</v>
      </c>
      <c r="C607" t="s">
        <v>76</v>
      </c>
      <c r="D607" t="s">
        <v>80</v>
      </c>
      <c r="E607">
        <v>50</v>
      </c>
      <c r="F607" t="s">
        <v>42</v>
      </c>
      <c r="G607" t="s">
        <v>43</v>
      </c>
      <c r="H607" t="s">
        <v>39</v>
      </c>
      <c r="I607">
        <v>12</v>
      </c>
      <c r="J607" s="1">
        <v>75</v>
      </c>
      <c r="K607" t="s">
        <v>2065</v>
      </c>
      <c r="L607" t="s">
        <v>2066</v>
      </c>
      <c r="M607">
        <v>0</v>
      </c>
      <c r="N607" t="b">
        <v>0</v>
      </c>
      <c r="O607" t="s">
        <v>2077</v>
      </c>
      <c r="P607">
        <v>75</v>
      </c>
      <c r="Q607" s="2">
        <v>0.75</v>
      </c>
      <c r="R607">
        <v>0.75</v>
      </c>
      <c r="S607" s="5">
        <v>0.01</v>
      </c>
    </row>
    <row r="608" spans="1:19" x14ac:dyDescent="0.3">
      <c r="A608" t="s">
        <v>1279</v>
      </c>
      <c r="B608" t="s">
        <v>1280</v>
      </c>
      <c r="C608" t="s">
        <v>111</v>
      </c>
      <c r="D608" t="s">
        <v>80</v>
      </c>
      <c r="E608">
        <v>39</v>
      </c>
      <c r="F608" t="s">
        <v>50</v>
      </c>
      <c r="G608" t="s">
        <v>51</v>
      </c>
      <c r="H608" t="s">
        <v>79</v>
      </c>
      <c r="I608">
        <v>20</v>
      </c>
      <c r="J608" s="1">
        <v>75</v>
      </c>
      <c r="K608" t="s">
        <v>2065</v>
      </c>
      <c r="L608" t="s">
        <v>2066</v>
      </c>
      <c r="M608">
        <v>2.7</v>
      </c>
      <c r="N608">
        <v>1</v>
      </c>
      <c r="O608" t="s">
        <v>2076</v>
      </c>
      <c r="P608">
        <v>0.67</v>
      </c>
      <c r="Q608" s="2">
        <v>0.67</v>
      </c>
      <c r="S608" s="5">
        <v>8.9333333333333296E-3</v>
      </c>
    </row>
    <row r="609" spans="1:19" x14ac:dyDescent="0.3">
      <c r="A609" t="s">
        <v>1281</v>
      </c>
      <c r="B609" t="s">
        <v>1282</v>
      </c>
      <c r="C609" t="s">
        <v>111</v>
      </c>
      <c r="D609" t="s">
        <v>80</v>
      </c>
      <c r="E609">
        <v>51</v>
      </c>
      <c r="F609" t="s">
        <v>58</v>
      </c>
      <c r="G609" t="s">
        <v>59</v>
      </c>
      <c r="H609" t="s">
        <v>47</v>
      </c>
      <c r="I609">
        <v>30</v>
      </c>
      <c r="J609" s="1">
        <v>75</v>
      </c>
      <c r="K609" t="s">
        <v>2066</v>
      </c>
      <c r="N609" t="b">
        <v>1</v>
      </c>
      <c r="O609" t="s">
        <v>2076</v>
      </c>
      <c r="P609">
        <v>0.74</v>
      </c>
      <c r="Q609" s="2">
        <v>0.74</v>
      </c>
      <c r="S609" s="5">
        <v>9.8666666666666607E-3</v>
      </c>
    </row>
    <row r="610" spans="1:19" x14ac:dyDescent="0.3">
      <c r="A610" t="s">
        <v>1283</v>
      </c>
      <c r="B610" t="s">
        <v>1284</v>
      </c>
      <c r="C610" t="s">
        <v>76</v>
      </c>
      <c r="D610" t="s">
        <v>80</v>
      </c>
      <c r="E610">
        <v>34</v>
      </c>
      <c r="F610" t="s">
        <v>23</v>
      </c>
      <c r="G610" t="s">
        <v>24</v>
      </c>
      <c r="H610" t="s">
        <v>33</v>
      </c>
      <c r="I610">
        <v>5</v>
      </c>
      <c r="J610" s="1">
        <v>20</v>
      </c>
      <c r="K610" t="s">
        <v>2068</v>
      </c>
      <c r="L610" t="s">
        <v>2072</v>
      </c>
      <c r="M610">
        <v>2.2000000000000002</v>
      </c>
      <c r="N610" t="s">
        <v>96</v>
      </c>
      <c r="O610" t="s">
        <v>2076</v>
      </c>
      <c r="P610">
        <v>0.8</v>
      </c>
      <c r="Q610" s="2">
        <v>0.8</v>
      </c>
      <c r="S610" s="5">
        <v>0.04</v>
      </c>
    </row>
    <row r="611" spans="1:19" x14ac:dyDescent="0.3">
      <c r="A611" t="s">
        <v>1285</v>
      </c>
      <c r="B611" t="s">
        <v>1286</v>
      </c>
      <c r="C611" t="s">
        <v>111</v>
      </c>
      <c r="D611" t="s">
        <v>80</v>
      </c>
      <c r="E611">
        <v>50</v>
      </c>
      <c r="F611" t="s">
        <v>58</v>
      </c>
      <c r="G611" t="s">
        <v>59</v>
      </c>
      <c r="H611" t="s">
        <v>66</v>
      </c>
      <c r="I611">
        <v>11</v>
      </c>
      <c r="M611">
        <v>4.9000000000000004</v>
      </c>
      <c r="N611">
        <v>1</v>
      </c>
      <c r="O611" t="s">
        <v>2076</v>
      </c>
      <c r="P611">
        <v>0.88</v>
      </c>
      <c r="Q611" s="2">
        <v>0.88</v>
      </c>
    </row>
    <row r="612" spans="1:19" x14ac:dyDescent="0.3">
      <c r="A612" t="s">
        <v>1287</v>
      </c>
      <c r="B612" t="s">
        <v>1288</v>
      </c>
      <c r="C612" t="s">
        <v>76</v>
      </c>
      <c r="D612" t="s">
        <v>80</v>
      </c>
      <c r="E612">
        <v>30</v>
      </c>
      <c r="F612" t="s">
        <v>23</v>
      </c>
      <c r="G612" t="s">
        <v>24</v>
      </c>
      <c r="H612" t="s">
        <v>52</v>
      </c>
      <c r="I612">
        <v>6</v>
      </c>
      <c r="J612" s="1">
        <v>75</v>
      </c>
      <c r="K612" t="s">
        <v>2066</v>
      </c>
      <c r="M612">
        <v>0</v>
      </c>
      <c r="N612" t="b">
        <v>0</v>
      </c>
      <c r="O612" t="s">
        <v>2077</v>
      </c>
      <c r="P612">
        <v>0.8</v>
      </c>
      <c r="Q612" s="2">
        <v>0.8</v>
      </c>
      <c r="S612" s="5">
        <v>1.0666666666666699E-2</v>
      </c>
    </row>
    <row r="613" spans="1:19" x14ac:dyDescent="0.3">
      <c r="A613" t="s">
        <v>1289</v>
      </c>
      <c r="B613" t="s">
        <v>1290</v>
      </c>
      <c r="C613" t="s">
        <v>111</v>
      </c>
      <c r="D613" t="s">
        <v>80</v>
      </c>
      <c r="E613">
        <v>38</v>
      </c>
      <c r="F613" t="s">
        <v>50</v>
      </c>
      <c r="G613" t="s">
        <v>51</v>
      </c>
      <c r="H613" t="s">
        <v>66</v>
      </c>
      <c r="I613">
        <v>7</v>
      </c>
      <c r="J613" s="1">
        <v>75</v>
      </c>
      <c r="K613" t="s">
        <v>2066</v>
      </c>
      <c r="N613">
        <v>0</v>
      </c>
      <c r="O613" t="s">
        <v>2077</v>
      </c>
    </row>
    <row r="614" spans="1:19" x14ac:dyDescent="0.3">
      <c r="A614" t="s">
        <v>1291</v>
      </c>
      <c r="B614" t="s">
        <v>1292</v>
      </c>
      <c r="C614" t="s">
        <v>76</v>
      </c>
      <c r="D614" t="s">
        <v>80</v>
      </c>
      <c r="E614">
        <v>59</v>
      </c>
      <c r="F614" t="s">
        <v>104</v>
      </c>
      <c r="G614" t="s">
        <v>105</v>
      </c>
      <c r="H614" t="s">
        <v>108</v>
      </c>
      <c r="I614">
        <v>14</v>
      </c>
      <c r="J614" s="1">
        <v>30</v>
      </c>
      <c r="K614" t="s">
        <v>2065</v>
      </c>
      <c r="L614" t="s">
        <v>2069</v>
      </c>
      <c r="M614">
        <v>2.4</v>
      </c>
      <c r="N614" t="b">
        <v>0</v>
      </c>
      <c r="O614" t="s">
        <v>2077</v>
      </c>
    </row>
    <row r="615" spans="1:19" x14ac:dyDescent="0.3">
      <c r="A615" t="s">
        <v>1293</v>
      </c>
      <c r="B615" t="s">
        <v>1292</v>
      </c>
      <c r="C615" t="s">
        <v>76</v>
      </c>
      <c r="D615" t="s">
        <v>80</v>
      </c>
      <c r="E615">
        <v>52</v>
      </c>
      <c r="F615" t="s">
        <v>91</v>
      </c>
      <c r="G615" t="s">
        <v>59</v>
      </c>
      <c r="H615" t="s">
        <v>63</v>
      </c>
      <c r="I615">
        <v>25</v>
      </c>
      <c r="J615" s="1">
        <v>100</v>
      </c>
      <c r="K615" t="s">
        <v>2070</v>
      </c>
      <c r="M615">
        <v>4.8</v>
      </c>
      <c r="N615" t="s">
        <v>53</v>
      </c>
      <c r="O615" t="s">
        <v>2077</v>
      </c>
    </row>
    <row r="616" spans="1:19" x14ac:dyDescent="0.3">
      <c r="A616" t="s">
        <v>1294</v>
      </c>
      <c r="B616" t="s">
        <v>1295</v>
      </c>
      <c r="C616" t="s">
        <v>76</v>
      </c>
      <c r="D616" t="s">
        <v>80</v>
      </c>
      <c r="E616">
        <v>26</v>
      </c>
      <c r="F616" t="s">
        <v>23</v>
      </c>
      <c r="G616" t="s">
        <v>24</v>
      </c>
      <c r="H616" t="s">
        <v>79</v>
      </c>
      <c r="I616">
        <v>1</v>
      </c>
      <c r="J616" s="1">
        <v>75</v>
      </c>
      <c r="K616" t="s">
        <v>2066</v>
      </c>
      <c r="M616">
        <v>3</v>
      </c>
      <c r="N616">
        <v>1</v>
      </c>
      <c r="O616" t="s">
        <v>2076</v>
      </c>
    </row>
    <row r="617" spans="1:19" x14ac:dyDescent="0.3">
      <c r="A617" t="s">
        <v>1296</v>
      </c>
      <c r="B617" t="s">
        <v>1297</v>
      </c>
      <c r="C617" t="s">
        <v>15</v>
      </c>
      <c r="D617" t="s">
        <v>20</v>
      </c>
      <c r="E617">
        <v>21</v>
      </c>
      <c r="F617" t="s">
        <v>254</v>
      </c>
      <c r="G617" t="s">
        <v>255</v>
      </c>
      <c r="H617" t="s">
        <v>66</v>
      </c>
      <c r="I617">
        <v>2</v>
      </c>
      <c r="J617" s="1">
        <v>100</v>
      </c>
      <c r="K617" t="s">
        <v>2068</v>
      </c>
      <c r="L617" t="s">
        <v>2070</v>
      </c>
      <c r="M617">
        <v>1.6</v>
      </c>
      <c r="N617" t="s">
        <v>19</v>
      </c>
      <c r="O617" t="s">
        <v>2076</v>
      </c>
      <c r="P617">
        <v>0.97</v>
      </c>
      <c r="Q617" s="2">
        <v>0.97</v>
      </c>
      <c r="S617" s="5">
        <v>9.7000000000000003E-3</v>
      </c>
    </row>
    <row r="618" spans="1:19" x14ac:dyDescent="0.3">
      <c r="A618" t="s">
        <v>1298</v>
      </c>
      <c r="B618" t="s">
        <v>1299</v>
      </c>
      <c r="C618" t="s">
        <v>15</v>
      </c>
      <c r="D618" t="s">
        <v>20</v>
      </c>
      <c r="E618">
        <v>55</v>
      </c>
      <c r="F618" t="s">
        <v>50</v>
      </c>
      <c r="G618" t="s">
        <v>51</v>
      </c>
      <c r="H618" t="s">
        <v>52</v>
      </c>
      <c r="I618">
        <v>2</v>
      </c>
      <c r="J618" s="1">
        <v>50</v>
      </c>
      <c r="K618" t="s">
        <v>2065</v>
      </c>
      <c r="L618" t="s">
        <v>2071</v>
      </c>
      <c r="M618">
        <v>3.9</v>
      </c>
      <c r="N618" t="s">
        <v>19</v>
      </c>
      <c r="O618" t="s">
        <v>2076</v>
      </c>
      <c r="P618">
        <v>0.88</v>
      </c>
      <c r="Q618" s="2">
        <v>0.88</v>
      </c>
      <c r="S618" s="5">
        <v>1.7600000000000001E-2</v>
      </c>
    </row>
    <row r="619" spans="1:19" x14ac:dyDescent="0.3">
      <c r="A619" t="s">
        <v>1300</v>
      </c>
      <c r="B619" t="s">
        <v>1301</v>
      </c>
      <c r="C619" t="s">
        <v>111</v>
      </c>
      <c r="D619" t="s">
        <v>80</v>
      </c>
      <c r="E619">
        <v>41</v>
      </c>
      <c r="F619" t="s">
        <v>87</v>
      </c>
      <c r="G619" t="s">
        <v>88</v>
      </c>
      <c r="H619" t="s">
        <v>18</v>
      </c>
      <c r="I619">
        <v>21</v>
      </c>
      <c r="M619">
        <v>0</v>
      </c>
      <c r="N619" t="s">
        <v>96</v>
      </c>
      <c r="O619" t="s">
        <v>2076</v>
      </c>
    </row>
    <row r="620" spans="1:19" x14ac:dyDescent="0.3">
      <c r="A620" t="s">
        <v>1302</v>
      </c>
      <c r="B620" t="s">
        <v>1303</v>
      </c>
      <c r="C620" t="s">
        <v>76</v>
      </c>
      <c r="D620" t="s">
        <v>80</v>
      </c>
      <c r="E620">
        <v>49</v>
      </c>
      <c r="F620" t="s">
        <v>42</v>
      </c>
      <c r="G620" t="s">
        <v>43</v>
      </c>
      <c r="H620" t="s">
        <v>52</v>
      </c>
      <c r="I620">
        <v>24</v>
      </c>
      <c r="J620" s="1">
        <v>100</v>
      </c>
      <c r="K620" t="s">
        <v>2070</v>
      </c>
      <c r="M620">
        <v>3.6</v>
      </c>
      <c r="N620" t="b">
        <v>1</v>
      </c>
      <c r="O620" t="s">
        <v>2076</v>
      </c>
    </row>
    <row r="621" spans="1:19" x14ac:dyDescent="0.3">
      <c r="A621" t="s">
        <v>1304</v>
      </c>
      <c r="B621" t="s">
        <v>1305</v>
      </c>
      <c r="C621" t="s">
        <v>76</v>
      </c>
      <c r="D621" t="s">
        <v>80</v>
      </c>
      <c r="E621">
        <v>57</v>
      </c>
      <c r="F621" t="s">
        <v>37</v>
      </c>
      <c r="G621" t="s">
        <v>38</v>
      </c>
      <c r="H621" t="s">
        <v>33</v>
      </c>
      <c r="I621">
        <v>2</v>
      </c>
      <c r="J621" s="1">
        <v>40</v>
      </c>
      <c r="K621" t="s">
        <v>2067</v>
      </c>
      <c r="M621">
        <v>0</v>
      </c>
      <c r="N621" t="b">
        <v>0</v>
      </c>
      <c r="O621" t="s">
        <v>2077</v>
      </c>
      <c r="P621">
        <v>0.6</v>
      </c>
      <c r="Q621" s="2">
        <v>0.6</v>
      </c>
      <c r="S621" s="5">
        <v>1.4999999999999999E-2</v>
      </c>
    </row>
    <row r="622" spans="1:19" x14ac:dyDescent="0.3">
      <c r="A622" t="s">
        <v>1306</v>
      </c>
      <c r="B622" t="s">
        <v>1307</v>
      </c>
      <c r="C622" t="s">
        <v>111</v>
      </c>
      <c r="D622" t="s">
        <v>80</v>
      </c>
      <c r="E622">
        <v>26</v>
      </c>
      <c r="F622" t="s">
        <v>50</v>
      </c>
      <c r="G622" t="s">
        <v>51</v>
      </c>
      <c r="H622" t="s">
        <v>47</v>
      </c>
      <c r="I622">
        <v>2</v>
      </c>
      <c r="J622" s="1">
        <v>40</v>
      </c>
      <c r="K622" t="s">
        <v>2067</v>
      </c>
      <c r="M622">
        <v>0</v>
      </c>
      <c r="P622">
        <v>0.66</v>
      </c>
      <c r="Q622" s="2">
        <v>0.66</v>
      </c>
      <c r="S622" s="5">
        <v>1.6500000000000001E-2</v>
      </c>
    </row>
    <row r="623" spans="1:19" x14ac:dyDescent="0.3">
      <c r="A623" t="s">
        <v>1308</v>
      </c>
      <c r="B623" t="s">
        <v>1309</v>
      </c>
      <c r="C623" t="s">
        <v>76</v>
      </c>
      <c r="D623" t="s">
        <v>80</v>
      </c>
      <c r="E623">
        <v>41</v>
      </c>
      <c r="F623" t="s">
        <v>104</v>
      </c>
      <c r="G623" t="s">
        <v>105</v>
      </c>
      <c r="H623" t="s">
        <v>33</v>
      </c>
      <c r="I623">
        <v>14</v>
      </c>
      <c r="J623" s="1">
        <v>75</v>
      </c>
      <c r="K623" t="s">
        <v>2068</v>
      </c>
      <c r="L623" t="s">
        <v>2066</v>
      </c>
      <c r="M623">
        <v>1.2</v>
      </c>
      <c r="N623">
        <v>0</v>
      </c>
      <c r="O623" t="s">
        <v>2077</v>
      </c>
    </row>
    <row r="624" spans="1:19" x14ac:dyDescent="0.3">
      <c r="A624" t="s">
        <v>1310</v>
      </c>
      <c r="B624" t="s">
        <v>1311</v>
      </c>
      <c r="C624" t="s">
        <v>111</v>
      </c>
      <c r="D624" t="s">
        <v>80</v>
      </c>
      <c r="E624">
        <v>54</v>
      </c>
      <c r="F624" t="s">
        <v>58</v>
      </c>
      <c r="G624" t="s">
        <v>59</v>
      </c>
      <c r="H624" t="s">
        <v>33</v>
      </c>
      <c r="I624">
        <v>15</v>
      </c>
      <c r="J624" s="1">
        <v>40</v>
      </c>
      <c r="K624" t="s">
        <v>2067</v>
      </c>
      <c r="M624">
        <v>4.0999999999999996</v>
      </c>
      <c r="N624" t="b">
        <v>1</v>
      </c>
      <c r="O624" t="s">
        <v>2076</v>
      </c>
      <c r="P624">
        <v>71</v>
      </c>
      <c r="Q624" s="2">
        <v>0.71</v>
      </c>
      <c r="R624">
        <v>0.71</v>
      </c>
      <c r="S624" s="5">
        <v>1.7749999999999998E-2</v>
      </c>
    </row>
    <row r="625" spans="1:19" x14ac:dyDescent="0.3">
      <c r="A625" t="s">
        <v>1312</v>
      </c>
      <c r="B625" t="s">
        <v>1313</v>
      </c>
      <c r="C625" t="s">
        <v>15</v>
      </c>
      <c r="D625" t="s">
        <v>20</v>
      </c>
      <c r="E625">
        <v>31</v>
      </c>
      <c r="F625" t="s">
        <v>104</v>
      </c>
      <c r="G625" t="s">
        <v>105</v>
      </c>
      <c r="H625" t="s">
        <v>63</v>
      </c>
      <c r="I625">
        <v>2</v>
      </c>
      <c r="J625" s="1">
        <v>50</v>
      </c>
      <c r="K625" t="s">
        <v>2071</v>
      </c>
      <c r="M625">
        <v>3.9</v>
      </c>
      <c r="N625">
        <v>0</v>
      </c>
      <c r="O625" t="s">
        <v>2077</v>
      </c>
    </row>
    <row r="626" spans="1:19" x14ac:dyDescent="0.3">
      <c r="A626" t="s">
        <v>1314</v>
      </c>
      <c r="B626" t="s">
        <v>1315</v>
      </c>
      <c r="C626" t="s">
        <v>76</v>
      </c>
      <c r="D626" t="s">
        <v>80</v>
      </c>
      <c r="E626">
        <v>53</v>
      </c>
      <c r="F626" t="s">
        <v>27</v>
      </c>
      <c r="G626" t="s">
        <v>28</v>
      </c>
      <c r="H626" t="s">
        <v>39</v>
      </c>
      <c r="I626">
        <v>27</v>
      </c>
      <c r="J626" s="1">
        <v>30</v>
      </c>
      <c r="K626" t="s">
        <v>2069</v>
      </c>
      <c r="M626">
        <v>4.8</v>
      </c>
      <c r="N626">
        <v>0</v>
      </c>
      <c r="O626" t="s">
        <v>2077</v>
      </c>
      <c r="P626">
        <v>0.83</v>
      </c>
      <c r="Q626" s="2">
        <v>0.83</v>
      </c>
      <c r="S626" s="5">
        <v>2.76666666666667E-2</v>
      </c>
    </row>
    <row r="627" spans="1:19" x14ac:dyDescent="0.3">
      <c r="A627" t="s">
        <v>1316</v>
      </c>
      <c r="B627" t="s">
        <v>1317</v>
      </c>
      <c r="C627" t="s">
        <v>76</v>
      </c>
      <c r="D627" t="s">
        <v>80</v>
      </c>
      <c r="E627">
        <v>52</v>
      </c>
      <c r="F627" t="s">
        <v>91</v>
      </c>
      <c r="G627" t="s">
        <v>59</v>
      </c>
      <c r="H627" t="s">
        <v>63</v>
      </c>
      <c r="I627">
        <v>16</v>
      </c>
      <c r="J627" s="1">
        <v>100</v>
      </c>
      <c r="K627" t="s">
        <v>2070</v>
      </c>
      <c r="M627">
        <v>4</v>
      </c>
      <c r="N627">
        <v>1</v>
      </c>
      <c r="O627" t="s">
        <v>2076</v>
      </c>
    </row>
    <row r="628" spans="1:19" x14ac:dyDescent="0.3">
      <c r="A628" t="s">
        <v>1318</v>
      </c>
      <c r="B628" t="s">
        <v>1319</v>
      </c>
      <c r="C628" t="s">
        <v>111</v>
      </c>
      <c r="D628" t="s">
        <v>80</v>
      </c>
      <c r="E628">
        <v>42</v>
      </c>
      <c r="F628" t="s">
        <v>158</v>
      </c>
      <c r="G628" t="s">
        <v>159</v>
      </c>
      <c r="H628" t="s">
        <v>47</v>
      </c>
      <c r="I628">
        <v>5</v>
      </c>
      <c r="J628" s="1">
        <v>30</v>
      </c>
      <c r="K628" t="s">
        <v>2069</v>
      </c>
      <c r="M628">
        <v>4.9000000000000004</v>
      </c>
      <c r="N628">
        <v>1</v>
      </c>
      <c r="O628" t="s">
        <v>2076</v>
      </c>
      <c r="P628">
        <v>87</v>
      </c>
      <c r="Q628" s="2">
        <v>0.87</v>
      </c>
      <c r="R628">
        <v>0.87</v>
      </c>
      <c r="S628" s="5">
        <v>2.9000000000000001E-2</v>
      </c>
    </row>
    <row r="629" spans="1:19" x14ac:dyDescent="0.3">
      <c r="A629" t="s">
        <v>1320</v>
      </c>
      <c r="B629" t="s">
        <v>1321</v>
      </c>
      <c r="C629" t="s">
        <v>36</v>
      </c>
      <c r="D629" t="s">
        <v>20</v>
      </c>
      <c r="E629">
        <v>31</v>
      </c>
      <c r="F629" t="s">
        <v>77</v>
      </c>
      <c r="G629" t="s">
        <v>78</v>
      </c>
      <c r="H629" t="s">
        <v>33</v>
      </c>
      <c r="I629">
        <v>11</v>
      </c>
      <c r="M629">
        <v>3.3</v>
      </c>
      <c r="N629">
        <v>0</v>
      </c>
      <c r="O629" t="s">
        <v>2077</v>
      </c>
    </row>
    <row r="630" spans="1:19" x14ac:dyDescent="0.3">
      <c r="A630" t="s">
        <v>1322</v>
      </c>
      <c r="B630" t="s">
        <v>1323</v>
      </c>
      <c r="C630" t="s">
        <v>36</v>
      </c>
      <c r="D630" t="s">
        <v>20</v>
      </c>
      <c r="E630">
        <v>24</v>
      </c>
      <c r="F630" t="s">
        <v>37</v>
      </c>
      <c r="G630" t="s">
        <v>38</v>
      </c>
      <c r="H630" t="s">
        <v>47</v>
      </c>
      <c r="I630">
        <v>1</v>
      </c>
      <c r="J630" s="1">
        <v>30</v>
      </c>
      <c r="K630" t="s">
        <v>2065</v>
      </c>
      <c r="L630" t="s">
        <v>2069</v>
      </c>
      <c r="M630">
        <v>3.7</v>
      </c>
      <c r="N630" t="s">
        <v>67</v>
      </c>
      <c r="O630" t="s">
        <v>2077</v>
      </c>
      <c r="P630">
        <v>0.95</v>
      </c>
      <c r="Q630" s="2">
        <v>0.95</v>
      </c>
      <c r="S630" s="5">
        <v>3.1666666666666697E-2</v>
      </c>
    </row>
    <row r="631" spans="1:19" x14ac:dyDescent="0.3">
      <c r="A631" t="s">
        <v>1324</v>
      </c>
      <c r="B631" t="s">
        <v>1325</v>
      </c>
      <c r="C631" t="s">
        <v>36</v>
      </c>
      <c r="D631" t="s">
        <v>20</v>
      </c>
      <c r="E631">
        <v>35</v>
      </c>
      <c r="F631" t="s">
        <v>46</v>
      </c>
      <c r="G631" t="s">
        <v>17</v>
      </c>
      <c r="H631" t="s">
        <v>52</v>
      </c>
      <c r="I631">
        <v>15</v>
      </c>
      <c r="M631">
        <v>3.7</v>
      </c>
      <c r="N631" t="b">
        <v>0</v>
      </c>
      <c r="O631" t="s">
        <v>2077</v>
      </c>
      <c r="P631">
        <v>0.66</v>
      </c>
      <c r="Q631" s="2">
        <v>0.66</v>
      </c>
    </row>
    <row r="632" spans="1:19" x14ac:dyDescent="0.3">
      <c r="A632" t="s">
        <v>1326</v>
      </c>
      <c r="B632" t="s">
        <v>1327</v>
      </c>
      <c r="C632" t="s">
        <v>111</v>
      </c>
      <c r="D632" t="s">
        <v>80</v>
      </c>
      <c r="E632">
        <v>45</v>
      </c>
      <c r="F632" t="s">
        <v>91</v>
      </c>
      <c r="G632" t="s">
        <v>59</v>
      </c>
      <c r="H632" t="s">
        <v>39</v>
      </c>
      <c r="I632">
        <v>22</v>
      </c>
      <c r="J632" s="1">
        <v>40</v>
      </c>
      <c r="K632" t="s">
        <v>2067</v>
      </c>
      <c r="M632">
        <v>3.7</v>
      </c>
      <c r="N632" t="s">
        <v>96</v>
      </c>
      <c r="O632" t="s">
        <v>2076</v>
      </c>
      <c r="P632">
        <v>0.99</v>
      </c>
      <c r="Q632" s="2">
        <v>0.99</v>
      </c>
      <c r="S632" s="5">
        <v>2.4750000000000001E-2</v>
      </c>
    </row>
    <row r="633" spans="1:19" x14ac:dyDescent="0.3">
      <c r="A633" t="s">
        <v>1328</v>
      </c>
      <c r="B633" t="s">
        <v>1329</v>
      </c>
      <c r="C633" t="s">
        <v>111</v>
      </c>
      <c r="D633" t="s">
        <v>80</v>
      </c>
      <c r="E633">
        <v>38</v>
      </c>
      <c r="F633" t="s">
        <v>91</v>
      </c>
      <c r="G633" t="s">
        <v>59</v>
      </c>
      <c r="H633" t="s">
        <v>63</v>
      </c>
      <c r="I633">
        <v>3</v>
      </c>
      <c r="J633" s="1">
        <v>40</v>
      </c>
      <c r="K633" t="s">
        <v>2067</v>
      </c>
      <c r="M633">
        <v>4.7</v>
      </c>
      <c r="N633">
        <v>0</v>
      </c>
      <c r="O633" t="s">
        <v>2077</v>
      </c>
      <c r="P633">
        <v>0.69</v>
      </c>
      <c r="Q633" s="2">
        <v>0.69</v>
      </c>
      <c r="S633" s="5">
        <v>1.7250000000000001E-2</v>
      </c>
    </row>
    <row r="634" spans="1:19" x14ac:dyDescent="0.3">
      <c r="A634" t="s">
        <v>1330</v>
      </c>
      <c r="B634" t="s">
        <v>1331</v>
      </c>
      <c r="C634" t="s">
        <v>76</v>
      </c>
      <c r="D634" t="s">
        <v>80</v>
      </c>
      <c r="E634">
        <v>24</v>
      </c>
      <c r="F634" t="s">
        <v>31</v>
      </c>
      <c r="G634" t="s">
        <v>32</v>
      </c>
      <c r="H634" t="s">
        <v>33</v>
      </c>
      <c r="J634" s="1">
        <v>20</v>
      </c>
      <c r="K634" t="s">
        <v>2065</v>
      </c>
      <c r="L634" t="s">
        <v>2072</v>
      </c>
      <c r="M634">
        <v>0</v>
      </c>
      <c r="N634">
        <v>0</v>
      </c>
      <c r="O634" t="s">
        <v>2077</v>
      </c>
      <c r="P634">
        <v>0.76</v>
      </c>
      <c r="Q634" s="2">
        <v>0.76</v>
      </c>
      <c r="S634" s="5">
        <v>3.7999999999999999E-2</v>
      </c>
    </row>
    <row r="635" spans="1:19" x14ac:dyDescent="0.3">
      <c r="A635" t="s">
        <v>1332</v>
      </c>
      <c r="B635" t="s">
        <v>1333</v>
      </c>
      <c r="C635" t="s">
        <v>111</v>
      </c>
      <c r="D635" t="s">
        <v>80</v>
      </c>
      <c r="E635">
        <v>30</v>
      </c>
      <c r="F635" t="s">
        <v>158</v>
      </c>
      <c r="G635" t="s">
        <v>159</v>
      </c>
      <c r="H635" t="s">
        <v>52</v>
      </c>
      <c r="I635">
        <v>9</v>
      </c>
      <c r="J635" s="1">
        <v>30</v>
      </c>
      <c r="K635" t="s">
        <v>2065</v>
      </c>
      <c r="L635" t="s">
        <v>2069</v>
      </c>
      <c r="M635">
        <v>3.9</v>
      </c>
      <c r="N635" t="s">
        <v>67</v>
      </c>
      <c r="O635" t="s">
        <v>2077</v>
      </c>
      <c r="P635">
        <v>0.65</v>
      </c>
      <c r="Q635" s="2">
        <v>0.65</v>
      </c>
      <c r="S635" s="5">
        <v>2.1666666666666699E-2</v>
      </c>
    </row>
    <row r="636" spans="1:19" x14ac:dyDescent="0.3">
      <c r="A636" t="s">
        <v>1334</v>
      </c>
      <c r="B636" t="s">
        <v>1335</v>
      </c>
      <c r="C636" t="s">
        <v>76</v>
      </c>
      <c r="D636" t="s">
        <v>80</v>
      </c>
      <c r="E636">
        <v>41</v>
      </c>
      <c r="F636" t="s">
        <v>27</v>
      </c>
      <c r="G636" t="s">
        <v>28</v>
      </c>
      <c r="H636" t="s">
        <v>39</v>
      </c>
      <c r="I636">
        <v>14</v>
      </c>
      <c r="J636" s="1">
        <v>40</v>
      </c>
      <c r="K636" t="s">
        <v>2067</v>
      </c>
      <c r="M636">
        <v>1.1000000000000001</v>
      </c>
      <c r="N636" t="b">
        <v>1</v>
      </c>
      <c r="O636" t="s">
        <v>2076</v>
      </c>
      <c r="P636">
        <v>0.73</v>
      </c>
      <c r="Q636" s="2">
        <v>0.73</v>
      </c>
      <c r="S636" s="5">
        <v>1.8249999999999999E-2</v>
      </c>
    </row>
    <row r="637" spans="1:19" x14ac:dyDescent="0.3">
      <c r="A637" t="s">
        <v>1336</v>
      </c>
      <c r="B637" t="s">
        <v>1337</v>
      </c>
      <c r="C637" t="s">
        <v>76</v>
      </c>
      <c r="D637" t="s">
        <v>80</v>
      </c>
      <c r="E637">
        <v>37</v>
      </c>
      <c r="F637" t="s">
        <v>50</v>
      </c>
      <c r="G637" t="s">
        <v>51</v>
      </c>
      <c r="H637" t="s">
        <v>33</v>
      </c>
      <c r="I637">
        <v>15</v>
      </c>
      <c r="J637" s="1">
        <v>40</v>
      </c>
      <c r="K637" t="s">
        <v>2065</v>
      </c>
      <c r="L637" t="s">
        <v>2067</v>
      </c>
      <c r="M637">
        <v>2.9</v>
      </c>
      <c r="N637" t="b">
        <v>0</v>
      </c>
      <c r="O637" t="s">
        <v>2077</v>
      </c>
    </row>
    <row r="638" spans="1:19" x14ac:dyDescent="0.3">
      <c r="A638" t="s">
        <v>1338</v>
      </c>
      <c r="B638" t="s">
        <v>1339</v>
      </c>
      <c r="C638" t="s">
        <v>76</v>
      </c>
      <c r="D638" t="s">
        <v>80</v>
      </c>
      <c r="E638">
        <v>34</v>
      </c>
      <c r="F638" t="s">
        <v>77</v>
      </c>
      <c r="G638" t="s">
        <v>78</v>
      </c>
      <c r="H638" t="s">
        <v>18</v>
      </c>
      <c r="I638">
        <v>8</v>
      </c>
      <c r="J638" s="1">
        <v>20</v>
      </c>
      <c r="K638" t="s">
        <v>2065</v>
      </c>
      <c r="L638" t="s">
        <v>2072</v>
      </c>
      <c r="M638">
        <v>0</v>
      </c>
      <c r="N638" t="b">
        <v>1</v>
      </c>
      <c r="O638" t="s">
        <v>2076</v>
      </c>
      <c r="P638">
        <v>0.89</v>
      </c>
      <c r="Q638" s="2">
        <v>0.89</v>
      </c>
      <c r="S638" s="5">
        <v>4.4499999999999998E-2</v>
      </c>
    </row>
    <row r="639" spans="1:19" x14ac:dyDescent="0.3">
      <c r="A639" t="s">
        <v>1340</v>
      </c>
      <c r="B639" t="s">
        <v>1341</v>
      </c>
      <c r="C639" t="s">
        <v>15</v>
      </c>
      <c r="D639" t="s">
        <v>20</v>
      </c>
      <c r="E639">
        <v>35</v>
      </c>
      <c r="F639" t="s">
        <v>42</v>
      </c>
      <c r="G639" t="s">
        <v>43</v>
      </c>
      <c r="H639" t="s">
        <v>66</v>
      </c>
      <c r="I639">
        <v>14</v>
      </c>
      <c r="J639" s="1">
        <v>30</v>
      </c>
      <c r="K639" t="s">
        <v>2069</v>
      </c>
      <c r="M639">
        <v>1.6</v>
      </c>
      <c r="N639" t="s">
        <v>96</v>
      </c>
      <c r="O639" t="s">
        <v>2076</v>
      </c>
      <c r="P639">
        <v>0.67</v>
      </c>
      <c r="Q639" s="2">
        <v>0.67</v>
      </c>
      <c r="S639" s="5">
        <v>2.2333333333333299E-2</v>
      </c>
    </row>
    <row r="640" spans="1:19" x14ac:dyDescent="0.3">
      <c r="A640" t="s">
        <v>1342</v>
      </c>
      <c r="B640" t="s">
        <v>1343</v>
      </c>
      <c r="C640" t="s">
        <v>36</v>
      </c>
      <c r="D640" t="s">
        <v>20</v>
      </c>
      <c r="E640">
        <v>53</v>
      </c>
      <c r="F640" t="s">
        <v>31</v>
      </c>
      <c r="G640" t="s">
        <v>32</v>
      </c>
      <c r="H640" t="s">
        <v>108</v>
      </c>
      <c r="I640">
        <v>28</v>
      </c>
      <c r="J640" s="1">
        <v>50</v>
      </c>
      <c r="K640" t="s">
        <v>2068</v>
      </c>
      <c r="L640" t="s">
        <v>2071</v>
      </c>
      <c r="M640">
        <v>2.9</v>
      </c>
      <c r="N640" t="s">
        <v>19</v>
      </c>
      <c r="O640" t="s">
        <v>2076</v>
      </c>
      <c r="P640">
        <v>0.82</v>
      </c>
      <c r="Q640" s="2">
        <v>0.82</v>
      </c>
      <c r="S640" s="5">
        <v>1.6400000000000001E-2</v>
      </c>
    </row>
    <row r="641" spans="1:19" x14ac:dyDescent="0.3">
      <c r="A641" t="s">
        <v>1344</v>
      </c>
      <c r="B641" t="s">
        <v>1345</v>
      </c>
      <c r="C641" t="s">
        <v>15</v>
      </c>
      <c r="D641" t="s">
        <v>20</v>
      </c>
      <c r="E641">
        <v>34</v>
      </c>
      <c r="F641" t="s">
        <v>42</v>
      </c>
      <c r="G641" t="s">
        <v>43</v>
      </c>
      <c r="H641" t="s">
        <v>18</v>
      </c>
      <c r="I641">
        <v>15</v>
      </c>
      <c r="J641" s="1">
        <v>20</v>
      </c>
      <c r="K641" t="s">
        <v>2072</v>
      </c>
      <c r="M641">
        <v>0</v>
      </c>
      <c r="N641">
        <v>0</v>
      </c>
      <c r="O641" t="s">
        <v>2077</v>
      </c>
      <c r="P641">
        <v>1</v>
      </c>
      <c r="Q641" s="2">
        <v>1</v>
      </c>
      <c r="S641" s="5">
        <v>0.05</v>
      </c>
    </row>
    <row r="642" spans="1:19" x14ac:dyDescent="0.3">
      <c r="A642" t="s">
        <v>1346</v>
      </c>
      <c r="B642" t="s">
        <v>1347</v>
      </c>
      <c r="C642" t="s">
        <v>36</v>
      </c>
      <c r="D642" t="s">
        <v>20</v>
      </c>
      <c r="E642">
        <v>29</v>
      </c>
      <c r="F642" t="s">
        <v>139</v>
      </c>
      <c r="G642" t="s">
        <v>59</v>
      </c>
      <c r="H642" t="s">
        <v>39</v>
      </c>
      <c r="I642">
        <v>4</v>
      </c>
      <c r="J642" s="1">
        <v>50</v>
      </c>
      <c r="K642" t="s">
        <v>2068</v>
      </c>
      <c r="L642" t="s">
        <v>2071</v>
      </c>
      <c r="M642">
        <v>4</v>
      </c>
      <c r="N642">
        <v>0</v>
      </c>
      <c r="O642" t="s">
        <v>2077</v>
      </c>
    </row>
    <row r="643" spans="1:19" x14ac:dyDescent="0.3">
      <c r="A643" t="s">
        <v>1348</v>
      </c>
      <c r="B643" t="s">
        <v>1349</v>
      </c>
      <c r="C643" t="s">
        <v>36</v>
      </c>
      <c r="D643" t="s">
        <v>20</v>
      </c>
      <c r="E643">
        <v>52</v>
      </c>
      <c r="F643" t="s">
        <v>16</v>
      </c>
      <c r="G643" t="s">
        <v>17</v>
      </c>
      <c r="H643" t="s">
        <v>60</v>
      </c>
      <c r="I643">
        <v>31</v>
      </c>
      <c r="J643" s="1">
        <v>30</v>
      </c>
      <c r="K643" t="s">
        <v>2069</v>
      </c>
      <c r="N643">
        <v>1</v>
      </c>
      <c r="O643" t="s">
        <v>2076</v>
      </c>
    </row>
    <row r="644" spans="1:19" x14ac:dyDescent="0.3">
      <c r="A644" t="s">
        <v>1350</v>
      </c>
      <c r="B644" t="s">
        <v>1351</v>
      </c>
      <c r="C644" t="s">
        <v>15</v>
      </c>
      <c r="D644" t="s">
        <v>20</v>
      </c>
      <c r="E644">
        <v>30</v>
      </c>
      <c r="F644" t="s">
        <v>46</v>
      </c>
      <c r="G644" t="s">
        <v>17</v>
      </c>
      <c r="H644" t="s">
        <v>39</v>
      </c>
      <c r="I644">
        <v>1</v>
      </c>
      <c r="J644" s="1">
        <v>40</v>
      </c>
      <c r="K644" t="s">
        <v>2067</v>
      </c>
      <c r="M644">
        <v>1.6</v>
      </c>
      <c r="N644" t="b">
        <v>1</v>
      </c>
      <c r="O644" t="s">
        <v>2076</v>
      </c>
      <c r="P644">
        <v>100</v>
      </c>
      <c r="Q644" s="2">
        <v>1</v>
      </c>
      <c r="R644">
        <v>1</v>
      </c>
      <c r="S644" s="5">
        <v>2.5000000000000001E-2</v>
      </c>
    </row>
    <row r="645" spans="1:19" x14ac:dyDescent="0.3">
      <c r="A645" t="s">
        <v>1352</v>
      </c>
      <c r="B645" t="s">
        <v>1353</v>
      </c>
      <c r="C645" t="s">
        <v>36</v>
      </c>
      <c r="D645" t="s">
        <v>20</v>
      </c>
      <c r="E645">
        <v>37</v>
      </c>
      <c r="F645" t="s">
        <v>91</v>
      </c>
      <c r="G645" t="s">
        <v>59</v>
      </c>
      <c r="H645" t="s">
        <v>66</v>
      </c>
      <c r="I645">
        <v>3</v>
      </c>
      <c r="J645" s="1">
        <v>20</v>
      </c>
      <c r="K645" t="s">
        <v>2072</v>
      </c>
      <c r="M645">
        <v>2.5</v>
      </c>
      <c r="N645" t="s">
        <v>53</v>
      </c>
      <c r="O645" t="s">
        <v>2077</v>
      </c>
      <c r="P645">
        <v>0.62</v>
      </c>
      <c r="Q645" s="2">
        <v>0.62</v>
      </c>
      <c r="S645" s="5">
        <v>3.1E-2</v>
      </c>
    </row>
    <row r="646" spans="1:19" x14ac:dyDescent="0.3">
      <c r="A646" t="s">
        <v>1354</v>
      </c>
      <c r="B646" t="s">
        <v>1355</v>
      </c>
      <c r="C646" t="s">
        <v>36</v>
      </c>
      <c r="D646" t="s">
        <v>20</v>
      </c>
      <c r="E646">
        <v>58</v>
      </c>
      <c r="F646" t="s">
        <v>50</v>
      </c>
      <c r="G646" t="s">
        <v>51</v>
      </c>
      <c r="H646" t="s">
        <v>18</v>
      </c>
      <c r="I646">
        <v>3</v>
      </c>
      <c r="M646">
        <v>0</v>
      </c>
      <c r="N646">
        <v>1</v>
      </c>
      <c r="O646" t="s">
        <v>2076</v>
      </c>
    </row>
    <row r="647" spans="1:19" x14ac:dyDescent="0.3">
      <c r="A647" t="s">
        <v>1356</v>
      </c>
      <c r="B647" t="s">
        <v>1357</v>
      </c>
      <c r="C647" t="s">
        <v>15</v>
      </c>
      <c r="D647" t="s">
        <v>20</v>
      </c>
      <c r="E647">
        <v>50</v>
      </c>
      <c r="F647" t="s">
        <v>37</v>
      </c>
      <c r="G647" t="s">
        <v>38</v>
      </c>
      <c r="H647" t="s">
        <v>33</v>
      </c>
      <c r="I647">
        <v>9</v>
      </c>
      <c r="J647" s="1">
        <v>30</v>
      </c>
      <c r="K647" t="s">
        <v>2069</v>
      </c>
      <c r="M647">
        <v>3</v>
      </c>
      <c r="N647">
        <v>0</v>
      </c>
      <c r="O647" t="s">
        <v>2077</v>
      </c>
      <c r="P647">
        <v>76</v>
      </c>
      <c r="Q647" s="2">
        <v>0.76</v>
      </c>
      <c r="R647">
        <v>0.76</v>
      </c>
      <c r="S647" s="5">
        <v>2.5333333333333301E-2</v>
      </c>
    </row>
    <row r="648" spans="1:19" x14ac:dyDescent="0.3">
      <c r="A648" t="s">
        <v>1358</v>
      </c>
      <c r="B648" t="s">
        <v>1359</v>
      </c>
      <c r="C648" t="s">
        <v>15</v>
      </c>
      <c r="D648" t="s">
        <v>20</v>
      </c>
      <c r="E648">
        <v>38</v>
      </c>
      <c r="F648" t="s">
        <v>188</v>
      </c>
      <c r="G648" t="s">
        <v>189</v>
      </c>
      <c r="H648" t="s">
        <v>33</v>
      </c>
      <c r="I648">
        <v>3</v>
      </c>
      <c r="J648" s="1">
        <v>100</v>
      </c>
      <c r="K648" t="s">
        <v>2070</v>
      </c>
      <c r="M648">
        <v>1.4</v>
      </c>
      <c r="N648" t="b">
        <v>0</v>
      </c>
      <c r="O648" t="s">
        <v>2077</v>
      </c>
      <c r="P648">
        <v>0.73</v>
      </c>
      <c r="Q648" s="2">
        <v>0.73</v>
      </c>
      <c r="S648" s="5">
        <v>7.3000000000000001E-3</v>
      </c>
    </row>
    <row r="649" spans="1:19" x14ac:dyDescent="0.3">
      <c r="A649" t="s">
        <v>1360</v>
      </c>
      <c r="B649" t="s">
        <v>1361</v>
      </c>
      <c r="C649" t="s">
        <v>15</v>
      </c>
      <c r="D649" t="s">
        <v>20</v>
      </c>
      <c r="E649">
        <v>23</v>
      </c>
      <c r="F649" t="s">
        <v>27</v>
      </c>
      <c r="G649" t="s">
        <v>28</v>
      </c>
      <c r="H649" t="s">
        <v>108</v>
      </c>
      <c r="I649">
        <v>4</v>
      </c>
      <c r="J649" s="1">
        <v>50</v>
      </c>
      <c r="K649" t="s">
        <v>2071</v>
      </c>
      <c r="M649">
        <v>4.5</v>
      </c>
      <c r="N649" t="s">
        <v>53</v>
      </c>
      <c r="O649" t="s">
        <v>2077</v>
      </c>
      <c r="P649">
        <v>0.98</v>
      </c>
      <c r="Q649" s="2">
        <v>0.98</v>
      </c>
      <c r="S649" s="5">
        <v>1.9599999999999999E-2</v>
      </c>
    </row>
    <row r="650" spans="1:19" x14ac:dyDescent="0.3">
      <c r="A650" t="s">
        <v>1362</v>
      </c>
      <c r="B650" t="s">
        <v>1363</v>
      </c>
      <c r="C650" t="s">
        <v>15</v>
      </c>
      <c r="D650" t="s">
        <v>20</v>
      </c>
      <c r="E650">
        <v>38</v>
      </c>
      <c r="F650" t="s">
        <v>91</v>
      </c>
      <c r="G650" t="s">
        <v>59</v>
      </c>
      <c r="H650" t="s">
        <v>108</v>
      </c>
      <c r="I650">
        <v>17</v>
      </c>
      <c r="J650" s="1">
        <v>40</v>
      </c>
      <c r="K650" t="s">
        <v>2068</v>
      </c>
      <c r="L650" t="s">
        <v>2067</v>
      </c>
      <c r="M650">
        <v>4</v>
      </c>
      <c r="N650" t="b">
        <v>1</v>
      </c>
      <c r="O650" t="s">
        <v>2076</v>
      </c>
      <c r="P650">
        <v>0.9</v>
      </c>
      <c r="Q650" s="2">
        <v>0.9</v>
      </c>
      <c r="S650" s="5">
        <v>2.2499999999999999E-2</v>
      </c>
    </row>
    <row r="651" spans="1:19" x14ac:dyDescent="0.3">
      <c r="A651" t="s">
        <v>1364</v>
      </c>
      <c r="B651" t="s">
        <v>1365</v>
      </c>
      <c r="C651" t="s">
        <v>76</v>
      </c>
      <c r="D651" t="s">
        <v>80</v>
      </c>
      <c r="E651">
        <v>38</v>
      </c>
      <c r="F651" t="s">
        <v>31</v>
      </c>
      <c r="G651" t="s">
        <v>32</v>
      </c>
      <c r="H651" t="s">
        <v>108</v>
      </c>
      <c r="I651">
        <v>13</v>
      </c>
      <c r="J651" s="1">
        <v>40</v>
      </c>
      <c r="K651" t="s">
        <v>2065</v>
      </c>
      <c r="L651" t="s">
        <v>2067</v>
      </c>
      <c r="M651">
        <v>0</v>
      </c>
      <c r="N651">
        <v>1</v>
      </c>
      <c r="O651" t="s">
        <v>2076</v>
      </c>
      <c r="P651">
        <v>61</v>
      </c>
      <c r="Q651" s="2">
        <v>0.61</v>
      </c>
      <c r="R651">
        <v>0.61</v>
      </c>
      <c r="S651" s="5">
        <v>1.525E-2</v>
      </c>
    </row>
    <row r="652" spans="1:19" x14ac:dyDescent="0.3">
      <c r="A652" t="s">
        <v>1366</v>
      </c>
      <c r="B652" t="s">
        <v>1367</v>
      </c>
      <c r="C652" t="s">
        <v>111</v>
      </c>
      <c r="D652" t="s">
        <v>80</v>
      </c>
      <c r="E652">
        <v>47</v>
      </c>
      <c r="F652" t="s">
        <v>37</v>
      </c>
      <c r="G652" t="s">
        <v>38</v>
      </c>
      <c r="H652" t="s">
        <v>79</v>
      </c>
      <c r="I652">
        <v>22</v>
      </c>
      <c r="J652" s="1">
        <v>100</v>
      </c>
      <c r="K652" t="s">
        <v>2070</v>
      </c>
      <c r="M652">
        <v>4.4000000000000004</v>
      </c>
      <c r="N652" t="s">
        <v>67</v>
      </c>
      <c r="O652" t="s">
        <v>2077</v>
      </c>
      <c r="P652">
        <v>0.7</v>
      </c>
      <c r="Q652" s="2">
        <v>0.7</v>
      </c>
      <c r="S652" s="5">
        <v>7.0000000000000001E-3</v>
      </c>
    </row>
    <row r="653" spans="1:19" x14ac:dyDescent="0.3">
      <c r="A653" t="s">
        <v>1368</v>
      </c>
      <c r="B653" t="s">
        <v>1369</v>
      </c>
      <c r="C653" t="s">
        <v>15</v>
      </c>
      <c r="D653" t="s">
        <v>20</v>
      </c>
      <c r="E653">
        <v>53</v>
      </c>
      <c r="F653" t="s">
        <v>104</v>
      </c>
      <c r="G653" t="s">
        <v>105</v>
      </c>
      <c r="H653" t="s">
        <v>39</v>
      </c>
      <c r="I653">
        <v>32</v>
      </c>
      <c r="J653" s="1">
        <v>50</v>
      </c>
      <c r="K653" t="s">
        <v>2071</v>
      </c>
      <c r="N653">
        <v>1</v>
      </c>
      <c r="O653" t="s">
        <v>2076</v>
      </c>
    </row>
    <row r="654" spans="1:19" x14ac:dyDescent="0.3">
      <c r="A654" t="s">
        <v>1370</v>
      </c>
      <c r="B654" t="s">
        <v>1371</v>
      </c>
      <c r="C654" t="s">
        <v>15</v>
      </c>
      <c r="D654" t="s">
        <v>20</v>
      </c>
      <c r="E654">
        <v>57</v>
      </c>
      <c r="F654" t="s">
        <v>139</v>
      </c>
      <c r="G654" t="s">
        <v>59</v>
      </c>
      <c r="H654" t="s">
        <v>63</v>
      </c>
      <c r="I654">
        <v>13</v>
      </c>
      <c r="J654" s="1">
        <v>100</v>
      </c>
      <c r="K654" t="s">
        <v>2070</v>
      </c>
      <c r="M654">
        <v>3.5</v>
      </c>
      <c r="N654" t="s">
        <v>67</v>
      </c>
      <c r="O654" t="s">
        <v>2077</v>
      </c>
      <c r="P654">
        <v>0.95</v>
      </c>
      <c r="Q654" s="2">
        <v>0.95</v>
      </c>
      <c r="S654" s="5">
        <v>9.4999999999999998E-3</v>
      </c>
    </row>
    <row r="655" spans="1:19" x14ac:dyDescent="0.3">
      <c r="A655" t="s">
        <v>1372</v>
      </c>
      <c r="B655" t="s">
        <v>1373</v>
      </c>
      <c r="C655" t="s">
        <v>15</v>
      </c>
      <c r="D655" t="s">
        <v>20</v>
      </c>
      <c r="E655">
        <v>29</v>
      </c>
      <c r="F655" t="s">
        <v>158</v>
      </c>
      <c r="G655" t="s">
        <v>159</v>
      </c>
      <c r="H655" t="s">
        <v>66</v>
      </c>
      <c r="I655">
        <v>0</v>
      </c>
      <c r="J655" s="1">
        <v>30</v>
      </c>
      <c r="K655" t="s">
        <v>2069</v>
      </c>
      <c r="M655">
        <v>0</v>
      </c>
      <c r="N655">
        <v>0</v>
      </c>
      <c r="O655" t="s">
        <v>2077</v>
      </c>
      <c r="P655">
        <v>0.63</v>
      </c>
      <c r="Q655" s="2">
        <v>0.63</v>
      </c>
      <c r="S655" s="5">
        <v>2.1000000000000001E-2</v>
      </c>
    </row>
    <row r="656" spans="1:19" x14ac:dyDescent="0.3">
      <c r="A656" t="s">
        <v>1374</v>
      </c>
      <c r="B656" t="s">
        <v>1375</v>
      </c>
      <c r="C656" t="s">
        <v>76</v>
      </c>
      <c r="D656" t="s">
        <v>80</v>
      </c>
      <c r="E656">
        <v>23</v>
      </c>
      <c r="F656" t="s">
        <v>27</v>
      </c>
      <c r="G656" t="s">
        <v>28</v>
      </c>
      <c r="H656" t="s">
        <v>47</v>
      </c>
      <c r="I656">
        <v>4</v>
      </c>
      <c r="J656" s="1">
        <v>20</v>
      </c>
      <c r="K656" t="s">
        <v>2068</v>
      </c>
      <c r="L656" t="s">
        <v>2072</v>
      </c>
      <c r="M656">
        <v>4.7</v>
      </c>
      <c r="N656" t="b">
        <v>1</v>
      </c>
      <c r="O656" t="s">
        <v>2076</v>
      </c>
      <c r="P656">
        <v>0.84</v>
      </c>
      <c r="Q656" s="2">
        <v>0.84</v>
      </c>
      <c r="S656" s="5">
        <v>4.2000000000000003E-2</v>
      </c>
    </row>
    <row r="657" spans="1:19" x14ac:dyDescent="0.3">
      <c r="A657" t="s">
        <v>1376</v>
      </c>
      <c r="B657" t="s">
        <v>1375</v>
      </c>
      <c r="C657" t="s">
        <v>76</v>
      </c>
      <c r="D657" t="s">
        <v>80</v>
      </c>
      <c r="E657">
        <v>53</v>
      </c>
      <c r="F657" t="s">
        <v>188</v>
      </c>
      <c r="G657" t="s">
        <v>189</v>
      </c>
      <c r="H657" t="s">
        <v>79</v>
      </c>
      <c r="I657">
        <v>35</v>
      </c>
      <c r="M657">
        <v>0</v>
      </c>
      <c r="N657">
        <v>1</v>
      </c>
      <c r="O657" t="s">
        <v>2076</v>
      </c>
      <c r="P657">
        <v>0.67</v>
      </c>
      <c r="Q657" s="2">
        <v>0.67</v>
      </c>
    </row>
    <row r="658" spans="1:19" x14ac:dyDescent="0.3">
      <c r="A658" t="s">
        <v>1377</v>
      </c>
      <c r="B658" t="s">
        <v>1378</v>
      </c>
      <c r="C658" t="s">
        <v>76</v>
      </c>
      <c r="D658" t="s">
        <v>80</v>
      </c>
      <c r="E658">
        <v>33</v>
      </c>
      <c r="F658" t="s">
        <v>91</v>
      </c>
      <c r="G658" t="s">
        <v>59</v>
      </c>
      <c r="H658" t="s">
        <v>66</v>
      </c>
      <c r="I658">
        <v>4</v>
      </c>
      <c r="M658">
        <v>1.9</v>
      </c>
      <c r="N658" t="b">
        <v>0</v>
      </c>
      <c r="O658" t="s">
        <v>2077</v>
      </c>
      <c r="P658">
        <v>73</v>
      </c>
      <c r="Q658" s="2">
        <v>0.73</v>
      </c>
      <c r="R658">
        <v>0.73</v>
      </c>
    </row>
    <row r="659" spans="1:19" x14ac:dyDescent="0.3">
      <c r="A659" t="s">
        <v>1379</v>
      </c>
      <c r="B659" t="s">
        <v>1380</v>
      </c>
      <c r="C659" t="s">
        <v>76</v>
      </c>
      <c r="D659" t="s">
        <v>80</v>
      </c>
      <c r="E659">
        <v>39</v>
      </c>
      <c r="F659" t="s">
        <v>158</v>
      </c>
      <c r="G659" t="s">
        <v>159</v>
      </c>
      <c r="H659" t="s">
        <v>18</v>
      </c>
      <c r="I659">
        <v>11</v>
      </c>
      <c r="J659" s="1">
        <v>100</v>
      </c>
      <c r="K659" t="s">
        <v>2070</v>
      </c>
      <c r="M659">
        <v>2.8</v>
      </c>
      <c r="P659">
        <v>70</v>
      </c>
      <c r="Q659" s="2">
        <v>0.7</v>
      </c>
      <c r="R659">
        <v>0.7</v>
      </c>
      <c r="S659" s="5">
        <v>7.0000000000000001E-3</v>
      </c>
    </row>
    <row r="660" spans="1:19" x14ac:dyDescent="0.3">
      <c r="A660" t="s">
        <v>1381</v>
      </c>
      <c r="B660" t="s">
        <v>1382</v>
      </c>
      <c r="C660" t="s">
        <v>76</v>
      </c>
      <c r="D660" t="s">
        <v>80</v>
      </c>
      <c r="E660">
        <v>31</v>
      </c>
      <c r="F660" t="s">
        <v>155</v>
      </c>
      <c r="G660" t="s">
        <v>17</v>
      </c>
      <c r="H660" t="s">
        <v>63</v>
      </c>
      <c r="I660">
        <v>6</v>
      </c>
      <c r="M660">
        <v>3.5</v>
      </c>
      <c r="N660" t="s">
        <v>67</v>
      </c>
      <c r="O660" t="s">
        <v>2077</v>
      </c>
      <c r="P660">
        <v>0.86</v>
      </c>
      <c r="Q660" s="2">
        <v>0.86</v>
      </c>
    </row>
    <row r="661" spans="1:19" x14ac:dyDescent="0.3">
      <c r="A661" t="s">
        <v>1383</v>
      </c>
      <c r="B661" t="s">
        <v>1384</v>
      </c>
      <c r="C661" t="s">
        <v>111</v>
      </c>
      <c r="D661" t="s">
        <v>80</v>
      </c>
      <c r="E661">
        <v>58</v>
      </c>
      <c r="F661" t="s">
        <v>188</v>
      </c>
      <c r="G661" t="s">
        <v>189</v>
      </c>
      <c r="H661" t="s">
        <v>60</v>
      </c>
      <c r="I661">
        <v>11</v>
      </c>
      <c r="J661" s="1">
        <v>50</v>
      </c>
      <c r="K661" t="s">
        <v>2071</v>
      </c>
      <c r="M661">
        <v>0</v>
      </c>
      <c r="N661">
        <v>0</v>
      </c>
      <c r="O661" t="s">
        <v>2077</v>
      </c>
    </row>
    <row r="662" spans="1:19" x14ac:dyDescent="0.3">
      <c r="A662" t="s">
        <v>1385</v>
      </c>
      <c r="B662" t="s">
        <v>1386</v>
      </c>
      <c r="C662" t="s">
        <v>111</v>
      </c>
      <c r="D662" t="s">
        <v>80</v>
      </c>
      <c r="E662">
        <v>40</v>
      </c>
      <c r="F662" t="s">
        <v>16</v>
      </c>
      <c r="G662" t="s">
        <v>17</v>
      </c>
      <c r="H662" t="s">
        <v>108</v>
      </c>
      <c r="M662">
        <v>1.2</v>
      </c>
      <c r="N662">
        <v>1</v>
      </c>
      <c r="O662" t="s">
        <v>2076</v>
      </c>
      <c r="P662">
        <v>0.67</v>
      </c>
      <c r="Q662" s="2">
        <v>0.67</v>
      </c>
    </row>
    <row r="663" spans="1:19" x14ac:dyDescent="0.3">
      <c r="A663" t="s">
        <v>1387</v>
      </c>
      <c r="B663" t="s">
        <v>1388</v>
      </c>
      <c r="C663" t="s">
        <v>36</v>
      </c>
      <c r="D663" t="s">
        <v>20</v>
      </c>
      <c r="E663">
        <v>52</v>
      </c>
      <c r="F663" t="s">
        <v>42</v>
      </c>
      <c r="G663" t="s">
        <v>43</v>
      </c>
      <c r="H663" t="s">
        <v>79</v>
      </c>
      <c r="I663">
        <v>21</v>
      </c>
      <c r="J663" s="1">
        <v>40</v>
      </c>
      <c r="K663" t="s">
        <v>2068</v>
      </c>
      <c r="L663" t="s">
        <v>2067</v>
      </c>
      <c r="M663">
        <v>4</v>
      </c>
      <c r="P663">
        <v>0.69</v>
      </c>
      <c r="Q663" s="2">
        <v>0.69</v>
      </c>
      <c r="S663" s="5">
        <v>1.7250000000000001E-2</v>
      </c>
    </row>
    <row r="664" spans="1:19" x14ac:dyDescent="0.3">
      <c r="A664" t="s">
        <v>1389</v>
      </c>
      <c r="B664" t="s">
        <v>1390</v>
      </c>
      <c r="C664" t="s">
        <v>15</v>
      </c>
      <c r="D664" t="s">
        <v>20</v>
      </c>
      <c r="E664">
        <v>42</v>
      </c>
      <c r="F664" t="s">
        <v>16</v>
      </c>
      <c r="G664" t="s">
        <v>17</v>
      </c>
      <c r="H664" t="s">
        <v>39</v>
      </c>
      <c r="I664">
        <v>13</v>
      </c>
      <c r="J664" s="1">
        <v>30</v>
      </c>
      <c r="K664" t="s">
        <v>2069</v>
      </c>
      <c r="M664">
        <v>0</v>
      </c>
      <c r="N664" t="b">
        <v>0</v>
      </c>
      <c r="O664" t="s">
        <v>2077</v>
      </c>
      <c r="P664">
        <v>0.74</v>
      </c>
      <c r="Q664" s="2">
        <v>0.74</v>
      </c>
      <c r="S664" s="5">
        <v>2.4666666666666701E-2</v>
      </c>
    </row>
    <row r="665" spans="1:19" x14ac:dyDescent="0.3">
      <c r="A665" t="s">
        <v>1391</v>
      </c>
      <c r="B665" t="s">
        <v>1392</v>
      </c>
      <c r="C665" t="s">
        <v>36</v>
      </c>
      <c r="D665" t="s">
        <v>20</v>
      </c>
      <c r="E665">
        <v>56</v>
      </c>
      <c r="F665" t="s">
        <v>104</v>
      </c>
      <c r="G665" t="s">
        <v>105</v>
      </c>
      <c r="H665" t="s">
        <v>66</v>
      </c>
      <c r="I665">
        <v>16</v>
      </c>
      <c r="J665" s="1">
        <v>30</v>
      </c>
      <c r="K665" t="s">
        <v>2068</v>
      </c>
      <c r="L665" t="s">
        <v>2069</v>
      </c>
      <c r="M665">
        <v>0</v>
      </c>
      <c r="N665" t="s">
        <v>19</v>
      </c>
      <c r="O665" t="s">
        <v>2076</v>
      </c>
    </row>
    <row r="666" spans="1:19" x14ac:dyDescent="0.3">
      <c r="A666" t="s">
        <v>1393</v>
      </c>
      <c r="B666" t="s">
        <v>1394</v>
      </c>
      <c r="C666" t="s">
        <v>36</v>
      </c>
      <c r="D666" t="s">
        <v>20</v>
      </c>
      <c r="E666">
        <v>27</v>
      </c>
      <c r="F666" t="s">
        <v>87</v>
      </c>
      <c r="G666" t="s">
        <v>88</v>
      </c>
      <c r="H666" t="s">
        <v>39</v>
      </c>
      <c r="I666">
        <v>1</v>
      </c>
      <c r="J666" s="1">
        <v>20</v>
      </c>
      <c r="K666" t="s">
        <v>2072</v>
      </c>
      <c r="M666">
        <v>4.3</v>
      </c>
      <c r="N666" t="s">
        <v>53</v>
      </c>
      <c r="O666" t="s">
        <v>2077</v>
      </c>
      <c r="P666">
        <v>0.76</v>
      </c>
      <c r="Q666" s="2">
        <v>0.76</v>
      </c>
      <c r="S666" s="5">
        <v>3.7999999999999999E-2</v>
      </c>
    </row>
    <row r="667" spans="1:19" x14ac:dyDescent="0.3">
      <c r="A667" t="s">
        <v>1395</v>
      </c>
      <c r="B667" t="s">
        <v>1396</v>
      </c>
      <c r="C667" t="s">
        <v>15</v>
      </c>
      <c r="D667" t="s">
        <v>20</v>
      </c>
      <c r="E667">
        <v>57</v>
      </c>
      <c r="F667" t="s">
        <v>254</v>
      </c>
      <c r="G667" t="s">
        <v>255</v>
      </c>
      <c r="H667" t="s">
        <v>39</v>
      </c>
      <c r="I667">
        <v>3</v>
      </c>
      <c r="J667" s="1">
        <v>100</v>
      </c>
      <c r="K667" t="s">
        <v>2068</v>
      </c>
      <c r="L667" t="s">
        <v>2070</v>
      </c>
      <c r="M667">
        <v>1.8</v>
      </c>
      <c r="N667" t="s">
        <v>19</v>
      </c>
      <c r="O667" t="s">
        <v>2076</v>
      </c>
      <c r="P667">
        <v>0.68</v>
      </c>
      <c r="Q667" s="2">
        <v>0.68</v>
      </c>
      <c r="S667" s="5">
        <v>6.7999999999999996E-3</v>
      </c>
    </row>
    <row r="668" spans="1:19" x14ac:dyDescent="0.3">
      <c r="A668" t="s">
        <v>1397</v>
      </c>
      <c r="B668" t="s">
        <v>1398</v>
      </c>
      <c r="C668" t="s">
        <v>15</v>
      </c>
      <c r="D668" t="s">
        <v>20</v>
      </c>
      <c r="E668">
        <v>52</v>
      </c>
      <c r="F668" t="s">
        <v>37</v>
      </c>
      <c r="G668" t="s">
        <v>38</v>
      </c>
      <c r="H668" t="s">
        <v>108</v>
      </c>
      <c r="I668">
        <v>22</v>
      </c>
      <c r="J668" s="1">
        <v>50</v>
      </c>
      <c r="K668" t="s">
        <v>2065</v>
      </c>
      <c r="L668" t="s">
        <v>2071</v>
      </c>
      <c r="N668">
        <v>1</v>
      </c>
      <c r="O668" t="s">
        <v>2076</v>
      </c>
    </row>
    <row r="669" spans="1:19" x14ac:dyDescent="0.3">
      <c r="A669" t="s">
        <v>1399</v>
      </c>
      <c r="B669" t="s">
        <v>1400</v>
      </c>
      <c r="C669" t="s">
        <v>36</v>
      </c>
      <c r="D669" t="s">
        <v>20</v>
      </c>
      <c r="E669">
        <v>22</v>
      </c>
      <c r="F669" t="s">
        <v>155</v>
      </c>
      <c r="G669" t="s">
        <v>17</v>
      </c>
      <c r="H669" t="s">
        <v>63</v>
      </c>
      <c r="I669">
        <v>2</v>
      </c>
      <c r="M669">
        <v>0</v>
      </c>
      <c r="N669">
        <v>1</v>
      </c>
      <c r="O669" t="s">
        <v>2076</v>
      </c>
    </row>
    <row r="670" spans="1:19" x14ac:dyDescent="0.3">
      <c r="A670" t="s">
        <v>1401</v>
      </c>
      <c r="B670" t="s">
        <v>1402</v>
      </c>
      <c r="C670" t="s">
        <v>15</v>
      </c>
      <c r="D670" t="s">
        <v>20</v>
      </c>
      <c r="E670">
        <v>48</v>
      </c>
      <c r="F670" t="s">
        <v>139</v>
      </c>
      <c r="G670" t="s">
        <v>59</v>
      </c>
      <c r="H670" t="s">
        <v>47</v>
      </c>
      <c r="I670">
        <v>21</v>
      </c>
      <c r="J670" s="1">
        <v>50</v>
      </c>
      <c r="K670" t="s">
        <v>2071</v>
      </c>
      <c r="M670">
        <v>4</v>
      </c>
      <c r="N670">
        <v>0</v>
      </c>
      <c r="O670" t="s">
        <v>2077</v>
      </c>
      <c r="P670">
        <v>0.78</v>
      </c>
      <c r="Q670" s="2">
        <v>0.78</v>
      </c>
      <c r="S670" s="5">
        <v>1.5599999999999999E-2</v>
      </c>
    </row>
    <row r="671" spans="1:19" x14ac:dyDescent="0.3">
      <c r="A671" t="s">
        <v>1403</v>
      </c>
      <c r="B671" t="s">
        <v>1404</v>
      </c>
      <c r="C671" t="s">
        <v>36</v>
      </c>
      <c r="D671" t="s">
        <v>20</v>
      </c>
      <c r="F671" t="s">
        <v>37</v>
      </c>
      <c r="G671" t="s">
        <v>38</v>
      </c>
      <c r="H671" t="s">
        <v>33</v>
      </c>
      <c r="I671">
        <v>10</v>
      </c>
      <c r="J671" s="1">
        <v>40</v>
      </c>
      <c r="K671" t="s">
        <v>2068</v>
      </c>
      <c r="L671" t="s">
        <v>2067</v>
      </c>
      <c r="M671">
        <v>0</v>
      </c>
    </row>
    <row r="672" spans="1:19" x14ac:dyDescent="0.3">
      <c r="A672" t="s">
        <v>1405</v>
      </c>
      <c r="B672" t="s">
        <v>1406</v>
      </c>
      <c r="C672" t="s">
        <v>36</v>
      </c>
      <c r="D672" t="s">
        <v>20</v>
      </c>
      <c r="E672">
        <v>32</v>
      </c>
      <c r="F672" t="s">
        <v>23</v>
      </c>
      <c r="G672" t="s">
        <v>24</v>
      </c>
      <c r="H672" t="s">
        <v>52</v>
      </c>
      <c r="I672">
        <v>10</v>
      </c>
      <c r="J672" s="1">
        <v>20</v>
      </c>
      <c r="K672" t="s">
        <v>2065</v>
      </c>
      <c r="L672" t="s">
        <v>2072</v>
      </c>
      <c r="M672">
        <v>2.4</v>
      </c>
      <c r="N672">
        <v>0</v>
      </c>
      <c r="O672" t="s">
        <v>2077</v>
      </c>
      <c r="P672">
        <v>0.86</v>
      </c>
      <c r="Q672" s="2">
        <v>0.86</v>
      </c>
      <c r="S672" s="5">
        <v>4.2999999999999997E-2</v>
      </c>
    </row>
    <row r="673" spans="1:19" x14ac:dyDescent="0.3">
      <c r="A673" t="s">
        <v>1407</v>
      </c>
      <c r="B673" t="s">
        <v>1406</v>
      </c>
      <c r="C673" t="s">
        <v>15</v>
      </c>
      <c r="D673" t="s">
        <v>20</v>
      </c>
      <c r="E673">
        <v>41</v>
      </c>
      <c r="F673" t="s">
        <v>254</v>
      </c>
      <c r="G673" t="s">
        <v>255</v>
      </c>
      <c r="H673" t="s">
        <v>66</v>
      </c>
      <c r="J673" s="1">
        <v>30</v>
      </c>
      <c r="K673" t="s">
        <v>2065</v>
      </c>
      <c r="L673" t="s">
        <v>2069</v>
      </c>
      <c r="M673">
        <v>1.4</v>
      </c>
      <c r="N673" t="b">
        <v>0</v>
      </c>
      <c r="O673" t="s">
        <v>2077</v>
      </c>
      <c r="P673">
        <v>0.74</v>
      </c>
      <c r="Q673" s="2">
        <v>0.74</v>
      </c>
      <c r="S673" s="5">
        <v>2.4666666666666701E-2</v>
      </c>
    </row>
    <row r="674" spans="1:19" x14ac:dyDescent="0.3">
      <c r="A674" t="s">
        <v>1408</v>
      </c>
      <c r="B674" t="s">
        <v>1409</v>
      </c>
      <c r="C674" t="s">
        <v>15</v>
      </c>
      <c r="D674" t="s">
        <v>20</v>
      </c>
      <c r="E674">
        <v>38</v>
      </c>
      <c r="F674" t="s">
        <v>37</v>
      </c>
      <c r="G674" t="s">
        <v>38</v>
      </c>
      <c r="H674" t="s">
        <v>18</v>
      </c>
      <c r="I674">
        <v>19</v>
      </c>
      <c r="J674" s="1">
        <v>40</v>
      </c>
      <c r="K674" t="s">
        <v>2067</v>
      </c>
      <c r="M674">
        <v>0</v>
      </c>
      <c r="N674">
        <v>1</v>
      </c>
      <c r="O674" t="s">
        <v>2076</v>
      </c>
      <c r="P674">
        <v>0.86</v>
      </c>
      <c r="Q674" s="2">
        <v>0.86</v>
      </c>
      <c r="S674" s="5">
        <v>2.1499999999999998E-2</v>
      </c>
    </row>
    <row r="675" spans="1:19" x14ac:dyDescent="0.3">
      <c r="A675" t="s">
        <v>1410</v>
      </c>
      <c r="B675" t="s">
        <v>1411</v>
      </c>
      <c r="C675" t="s">
        <v>15</v>
      </c>
      <c r="D675" t="s">
        <v>20</v>
      </c>
      <c r="E675">
        <v>24</v>
      </c>
      <c r="F675" t="s">
        <v>31</v>
      </c>
      <c r="G675" t="s">
        <v>32</v>
      </c>
      <c r="H675" t="s">
        <v>18</v>
      </c>
      <c r="I675">
        <v>3</v>
      </c>
      <c r="J675" s="1">
        <v>30</v>
      </c>
      <c r="K675" t="s">
        <v>2068</v>
      </c>
      <c r="L675" t="s">
        <v>2069</v>
      </c>
      <c r="M675">
        <v>3.9</v>
      </c>
      <c r="N675" t="s">
        <v>53</v>
      </c>
      <c r="O675" t="s">
        <v>2077</v>
      </c>
      <c r="P675">
        <v>0.9</v>
      </c>
      <c r="Q675" s="2">
        <v>0.9</v>
      </c>
      <c r="S675" s="5">
        <v>0.03</v>
      </c>
    </row>
    <row r="676" spans="1:19" x14ac:dyDescent="0.3">
      <c r="A676" t="s">
        <v>1412</v>
      </c>
      <c r="B676" t="s">
        <v>1413</v>
      </c>
      <c r="C676" t="s">
        <v>36</v>
      </c>
      <c r="D676" t="s">
        <v>20</v>
      </c>
      <c r="E676">
        <v>47</v>
      </c>
      <c r="F676" t="s">
        <v>37</v>
      </c>
      <c r="G676" t="s">
        <v>38</v>
      </c>
      <c r="H676" t="s">
        <v>66</v>
      </c>
      <c r="I676">
        <v>16</v>
      </c>
      <c r="J676" s="1">
        <v>100</v>
      </c>
      <c r="K676" t="s">
        <v>2065</v>
      </c>
      <c r="L676" t="s">
        <v>2070</v>
      </c>
      <c r="M676">
        <v>3.3</v>
      </c>
      <c r="N676">
        <v>0</v>
      </c>
      <c r="O676" t="s">
        <v>2077</v>
      </c>
      <c r="P676">
        <v>0.65</v>
      </c>
      <c r="Q676" s="2">
        <v>0.65</v>
      </c>
      <c r="S676" s="5">
        <v>6.4999999999999997E-3</v>
      </c>
    </row>
    <row r="677" spans="1:19" x14ac:dyDescent="0.3">
      <c r="A677" t="s">
        <v>1414</v>
      </c>
      <c r="B677" t="s">
        <v>1415</v>
      </c>
      <c r="C677" t="s">
        <v>76</v>
      </c>
      <c r="D677" t="s">
        <v>80</v>
      </c>
      <c r="E677">
        <v>40</v>
      </c>
      <c r="F677" t="s">
        <v>58</v>
      </c>
      <c r="G677" t="s">
        <v>59</v>
      </c>
      <c r="H677" t="s">
        <v>66</v>
      </c>
      <c r="I677">
        <v>12</v>
      </c>
      <c r="J677" s="1">
        <v>30</v>
      </c>
      <c r="K677" t="s">
        <v>2069</v>
      </c>
      <c r="M677">
        <v>3.5</v>
      </c>
      <c r="P677">
        <v>0.98</v>
      </c>
      <c r="Q677" s="2">
        <v>0.98</v>
      </c>
      <c r="S677" s="5">
        <v>3.2666666666666698E-2</v>
      </c>
    </row>
    <row r="678" spans="1:19" x14ac:dyDescent="0.3">
      <c r="A678" t="s">
        <v>1416</v>
      </c>
      <c r="B678" t="s">
        <v>1417</v>
      </c>
      <c r="C678" t="s">
        <v>15</v>
      </c>
      <c r="D678" t="s">
        <v>20</v>
      </c>
      <c r="E678">
        <v>25</v>
      </c>
      <c r="F678" t="s">
        <v>31</v>
      </c>
      <c r="G678" t="s">
        <v>32</v>
      </c>
      <c r="H678" t="s">
        <v>60</v>
      </c>
      <c r="I678">
        <v>3</v>
      </c>
      <c r="J678" s="1">
        <v>75</v>
      </c>
      <c r="K678" t="s">
        <v>2066</v>
      </c>
      <c r="N678">
        <v>0</v>
      </c>
      <c r="O678" t="s">
        <v>2077</v>
      </c>
      <c r="P678">
        <v>0.83</v>
      </c>
      <c r="Q678" s="2">
        <v>0.83</v>
      </c>
      <c r="S678" s="5">
        <v>1.10666666666667E-2</v>
      </c>
    </row>
    <row r="679" spans="1:19" x14ac:dyDescent="0.3">
      <c r="A679" t="s">
        <v>1418</v>
      </c>
      <c r="B679" t="s">
        <v>1419</v>
      </c>
      <c r="C679" t="s">
        <v>76</v>
      </c>
      <c r="D679" t="s">
        <v>80</v>
      </c>
      <c r="E679">
        <v>23</v>
      </c>
      <c r="F679" t="s">
        <v>58</v>
      </c>
      <c r="G679" t="s">
        <v>59</v>
      </c>
      <c r="H679" t="s">
        <v>18</v>
      </c>
      <c r="I679">
        <v>4</v>
      </c>
      <c r="J679" s="1">
        <v>20</v>
      </c>
      <c r="K679" t="s">
        <v>2068</v>
      </c>
      <c r="L679" t="s">
        <v>2072</v>
      </c>
      <c r="N679">
        <v>0</v>
      </c>
      <c r="O679" t="s">
        <v>2077</v>
      </c>
      <c r="P679">
        <v>0.71</v>
      </c>
      <c r="Q679" s="2">
        <v>0.71</v>
      </c>
      <c r="S679" s="5">
        <v>3.5499999999999997E-2</v>
      </c>
    </row>
    <row r="680" spans="1:19" x14ac:dyDescent="0.3">
      <c r="A680" t="s">
        <v>1420</v>
      </c>
      <c r="B680" t="s">
        <v>1421</v>
      </c>
      <c r="C680" t="s">
        <v>111</v>
      </c>
      <c r="D680" t="s">
        <v>80</v>
      </c>
      <c r="E680">
        <v>36</v>
      </c>
      <c r="F680" t="s">
        <v>104</v>
      </c>
      <c r="G680" t="s">
        <v>105</v>
      </c>
      <c r="H680" t="s">
        <v>39</v>
      </c>
      <c r="I680">
        <v>17</v>
      </c>
      <c r="J680" s="1">
        <v>20</v>
      </c>
      <c r="K680" t="s">
        <v>2065</v>
      </c>
      <c r="L680" t="s">
        <v>2072</v>
      </c>
      <c r="M680">
        <v>0</v>
      </c>
      <c r="N680">
        <v>1</v>
      </c>
      <c r="O680" t="s">
        <v>2076</v>
      </c>
      <c r="P680">
        <v>99</v>
      </c>
      <c r="Q680" s="2">
        <v>0.99</v>
      </c>
      <c r="R680">
        <v>0.99</v>
      </c>
      <c r="S680" s="5">
        <v>4.9500000000000002E-2</v>
      </c>
    </row>
    <row r="681" spans="1:19" x14ac:dyDescent="0.3">
      <c r="A681" t="s">
        <v>1422</v>
      </c>
      <c r="B681" t="s">
        <v>1423</v>
      </c>
      <c r="C681" t="s">
        <v>76</v>
      </c>
      <c r="D681" t="s">
        <v>80</v>
      </c>
      <c r="E681">
        <v>34</v>
      </c>
      <c r="F681" t="s">
        <v>27</v>
      </c>
      <c r="G681" t="s">
        <v>28</v>
      </c>
      <c r="H681" t="s">
        <v>18</v>
      </c>
      <c r="I681">
        <v>3</v>
      </c>
      <c r="N681" t="b">
        <v>0</v>
      </c>
      <c r="O681" t="s">
        <v>2077</v>
      </c>
      <c r="P681">
        <v>0.77</v>
      </c>
      <c r="Q681" s="2">
        <v>0.77</v>
      </c>
    </row>
    <row r="682" spans="1:19" x14ac:dyDescent="0.3">
      <c r="A682" t="s">
        <v>1424</v>
      </c>
      <c r="B682" t="s">
        <v>1425</v>
      </c>
      <c r="C682" t="s">
        <v>111</v>
      </c>
      <c r="D682" t="s">
        <v>80</v>
      </c>
      <c r="E682">
        <v>33</v>
      </c>
      <c r="F682" t="s">
        <v>158</v>
      </c>
      <c r="G682" t="s">
        <v>159</v>
      </c>
      <c r="H682" t="s">
        <v>52</v>
      </c>
      <c r="M682">
        <v>4.2</v>
      </c>
      <c r="N682" t="s">
        <v>96</v>
      </c>
      <c r="O682" t="s">
        <v>2076</v>
      </c>
      <c r="P682">
        <v>0.9</v>
      </c>
      <c r="Q682" s="2">
        <v>0.9</v>
      </c>
    </row>
    <row r="683" spans="1:19" x14ac:dyDescent="0.3">
      <c r="A683" t="s">
        <v>1426</v>
      </c>
      <c r="B683" t="s">
        <v>1427</v>
      </c>
      <c r="C683" t="s">
        <v>76</v>
      </c>
      <c r="D683" t="s">
        <v>80</v>
      </c>
      <c r="E683">
        <v>47</v>
      </c>
      <c r="F683" t="s">
        <v>91</v>
      </c>
      <c r="G683" t="s">
        <v>59</v>
      </c>
      <c r="H683" t="s">
        <v>108</v>
      </c>
      <c r="I683">
        <v>22</v>
      </c>
      <c r="J683" s="1">
        <v>30</v>
      </c>
      <c r="K683" t="s">
        <v>2069</v>
      </c>
      <c r="M683">
        <v>1.3</v>
      </c>
      <c r="N683">
        <v>0</v>
      </c>
      <c r="O683" t="s">
        <v>2077</v>
      </c>
      <c r="P683">
        <v>0.62</v>
      </c>
      <c r="Q683" s="2">
        <v>0.62</v>
      </c>
      <c r="S683" s="5">
        <v>2.0666666666666701E-2</v>
      </c>
    </row>
    <row r="684" spans="1:19" x14ac:dyDescent="0.3">
      <c r="A684" t="s">
        <v>1428</v>
      </c>
      <c r="B684" t="s">
        <v>1429</v>
      </c>
      <c r="C684" t="s">
        <v>76</v>
      </c>
      <c r="D684" t="s">
        <v>80</v>
      </c>
      <c r="E684">
        <v>55</v>
      </c>
      <c r="F684" t="s">
        <v>31</v>
      </c>
      <c r="G684" t="s">
        <v>32</v>
      </c>
      <c r="H684" t="s">
        <v>18</v>
      </c>
      <c r="I684">
        <v>18</v>
      </c>
      <c r="J684" s="1">
        <v>100</v>
      </c>
      <c r="K684" t="s">
        <v>2070</v>
      </c>
      <c r="M684">
        <v>2.9</v>
      </c>
      <c r="N684">
        <v>0</v>
      </c>
      <c r="O684" t="s">
        <v>2077</v>
      </c>
      <c r="P684">
        <v>97</v>
      </c>
      <c r="Q684" s="2">
        <v>0.97</v>
      </c>
      <c r="R684">
        <v>0.97</v>
      </c>
      <c r="S684" s="5">
        <v>9.7000000000000003E-3</v>
      </c>
    </row>
    <row r="685" spans="1:19" x14ac:dyDescent="0.3">
      <c r="A685" t="s">
        <v>1430</v>
      </c>
      <c r="B685" t="s">
        <v>1431</v>
      </c>
      <c r="C685" t="s">
        <v>111</v>
      </c>
      <c r="D685" t="s">
        <v>80</v>
      </c>
      <c r="E685">
        <v>21</v>
      </c>
      <c r="F685" t="s">
        <v>77</v>
      </c>
      <c r="G685" t="s">
        <v>78</v>
      </c>
      <c r="H685" t="s">
        <v>52</v>
      </c>
      <c r="I685">
        <v>1</v>
      </c>
      <c r="J685" s="1">
        <v>30</v>
      </c>
      <c r="K685" t="s">
        <v>2069</v>
      </c>
      <c r="M685">
        <v>1.2</v>
      </c>
      <c r="P685">
        <v>0.73</v>
      </c>
      <c r="Q685" s="2">
        <v>0.73</v>
      </c>
      <c r="S685" s="5">
        <v>2.4333333333333301E-2</v>
      </c>
    </row>
    <row r="686" spans="1:19" x14ac:dyDescent="0.3">
      <c r="A686" t="s">
        <v>1432</v>
      </c>
      <c r="B686" t="s">
        <v>1433</v>
      </c>
      <c r="C686" t="s">
        <v>111</v>
      </c>
      <c r="D686" t="s">
        <v>80</v>
      </c>
      <c r="E686">
        <v>20</v>
      </c>
      <c r="F686" t="s">
        <v>37</v>
      </c>
      <c r="G686" t="s">
        <v>38</v>
      </c>
      <c r="H686" t="s">
        <v>52</v>
      </c>
      <c r="I686">
        <v>0</v>
      </c>
      <c r="J686" s="1">
        <v>100</v>
      </c>
      <c r="K686" t="s">
        <v>2070</v>
      </c>
      <c r="M686">
        <v>0</v>
      </c>
      <c r="N686">
        <v>0</v>
      </c>
      <c r="O686" t="s">
        <v>2077</v>
      </c>
      <c r="P686">
        <v>63</v>
      </c>
      <c r="Q686" s="2">
        <v>0.63</v>
      </c>
      <c r="R686">
        <v>0.63</v>
      </c>
      <c r="S686" s="5">
        <v>6.3E-3</v>
      </c>
    </row>
    <row r="687" spans="1:19" x14ac:dyDescent="0.3">
      <c r="A687" t="s">
        <v>1434</v>
      </c>
      <c r="B687" t="s">
        <v>1435</v>
      </c>
      <c r="C687" t="s">
        <v>76</v>
      </c>
      <c r="D687" t="s">
        <v>80</v>
      </c>
      <c r="E687">
        <v>51</v>
      </c>
      <c r="F687" t="s">
        <v>42</v>
      </c>
      <c r="G687" t="s">
        <v>43</v>
      </c>
      <c r="H687" t="s">
        <v>47</v>
      </c>
      <c r="I687">
        <v>15</v>
      </c>
      <c r="J687" s="1">
        <v>50</v>
      </c>
      <c r="K687" t="s">
        <v>2065</v>
      </c>
      <c r="L687" t="s">
        <v>2071</v>
      </c>
      <c r="M687">
        <v>1.3</v>
      </c>
      <c r="N687">
        <v>1</v>
      </c>
      <c r="O687" t="s">
        <v>2076</v>
      </c>
      <c r="P687">
        <v>1</v>
      </c>
      <c r="Q687" s="2">
        <v>1</v>
      </c>
      <c r="S687" s="5">
        <v>0.02</v>
      </c>
    </row>
    <row r="688" spans="1:19" x14ac:dyDescent="0.3">
      <c r="A688" t="s">
        <v>1436</v>
      </c>
      <c r="B688" t="s">
        <v>1437</v>
      </c>
      <c r="C688" t="s">
        <v>76</v>
      </c>
      <c r="D688" t="s">
        <v>80</v>
      </c>
      <c r="E688">
        <v>23</v>
      </c>
      <c r="F688" t="s">
        <v>254</v>
      </c>
      <c r="G688" t="s">
        <v>255</v>
      </c>
      <c r="H688" t="s">
        <v>63</v>
      </c>
      <c r="I688">
        <v>1</v>
      </c>
      <c r="J688" s="1">
        <v>30</v>
      </c>
      <c r="K688" t="s">
        <v>2069</v>
      </c>
      <c r="M688">
        <v>5</v>
      </c>
      <c r="N688" t="s">
        <v>53</v>
      </c>
      <c r="O688" t="s">
        <v>2077</v>
      </c>
      <c r="P688">
        <v>0.97</v>
      </c>
      <c r="Q688" s="2">
        <v>0.97</v>
      </c>
      <c r="S688" s="5">
        <v>3.2333333333333297E-2</v>
      </c>
    </row>
    <row r="689" spans="1:19" x14ac:dyDescent="0.3">
      <c r="A689" t="s">
        <v>1438</v>
      </c>
      <c r="B689" t="s">
        <v>1439</v>
      </c>
      <c r="C689" t="s">
        <v>76</v>
      </c>
      <c r="D689" t="s">
        <v>80</v>
      </c>
      <c r="E689">
        <v>47</v>
      </c>
      <c r="F689" t="s">
        <v>188</v>
      </c>
      <c r="G689" t="s">
        <v>189</v>
      </c>
      <c r="H689" t="s">
        <v>52</v>
      </c>
      <c r="I689">
        <v>14</v>
      </c>
      <c r="N689" t="b">
        <v>0</v>
      </c>
      <c r="O689" t="s">
        <v>2077</v>
      </c>
      <c r="P689">
        <v>0.69</v>
      </c>
      <c r="Q689" s="2">
        <v>0.69</v>
      </c>
    </row>
    <row r="690" spans="1:19" x14ac:dyDescent="0.3">
      <c r="A690" t="s">
        <v>1440</v>
      </c>
      <c r="B690" t="s">
        <v>1441</v>
      </c>
      <c r="C690" t="s">
        <v>111</v>
      </c>
      <c r="D690" t="s">
        <v>80</v>
      </c>
      <c r="E690">
        <v>42</v>
      </c>
      <c r="F690" t="s">
        <v>188</v>
      </c>
      <c r="G690" t="s">
        <v>189</v>
      </c>
      <c r="H690" t="s">
        <v>52</v>
      </c>
      <c r="I690">
        <v>23</v>
      </c>
      <c r="J690" s="1">
        <v>50</v>
      </c>
      <c r="K690" t="s">
        <v>2071</v>
      </c>
      <c r="M690">
        <v>3.2</v>
      </c>
      <c r="N690" t="s">
        <v>19</v>
      </c>
      <c r="O690" t="s">
        <v>2076</v>
      </c>
    </row>
    <row r="691" spans="1:19" x14ac:dyDescent="0.3">
      <c r="A691" t="s">
        <v>1442</v>
      </c>
      <c r="B691" t="s">
        <v>1443</v>
      </c>
      <c r="C691" t="s">
        <v>111</v>
      </c>
      <c r="D691" t="s">
        <v>80</v>
      </c>
      <c r="E691">
        <v>56</v>
      </c>
      <c r="F691" t="s">
        <v>91</v>
      </c>
      <c r="G691" t="s">
        <v>59</v>
      </c>
      <c r="H691" t="s">
        <v>60</v>
      </c>
      <c r="I691">
        <v>19</v>
      </c>
      <c r="J691" s="1">
        <v>20</v>
      </c>
      <c r="K691" t="s">
        <v>2072</v>
      </c>
      <c r="M691">
        <v>0</v>
      </c>
      <c r="N691">
        <v>0</v>
      </c>
      <c r="O691" t="s">
        <v>2077</v>
      </c>
      <c r="P691">
        <v>0.87</v>
      </c>
      <c r="Q691" s="2">
        <v>0.87</v>
      </c>
      <c r="S691" s="5">
        <v>4.3499999999999997E-2</v>
      </c>
    </row>
    <row r="692" spans="1:19" x14ac:dyDescent="0.3">
      <c r="A692" t="s">
        <v>1444</v>
      </c>
      <c r="B692" t="s">
        <v>1445</v>
      </c>
      <c r="C692" t="s">
        <v>111</v>
      </c>
      <c r="D692" t="s">
        <v>80</v>
      </c>
      <c r="E692">
        <v>49</v>
      </c>
      <c r="F692" t="s">
        <v>155</v>
      </c>
      <c r="G692" t="s">
        <v>17</v>
      </c>
      <c r="H692" t="s">
        <v>79</v>
      </c>
      <c r="M692">
        <v>1.8</v>
      </c>
      <c r="N692">
        <v>0</v>
      </c>
      <c r="O692" t="s">
        <v>2077</v>
      </c>
    </row>
    <row r="693" spans="1:19" x14ac:dyDescent="0.3">
      <c r="A693" t="s">
        <v>1446</v>
      </c>
      <c r="B693" t="s">
        <v>1447</v>
      </c>
      <c r="C693" t="s">
        <v>111</v>
      </c>
      <c r="D693" t="s">
        <v>80</v>
      </c>
      <c r="E693">
        <v>58</v>
      </c>
      <c r="F693" t="s">
        <v>155</v>
      </c>
      <c r="G693" t="s">
        <v>17</v>
      </c>
      <c r="H693" t="s">
        <v>66</v>
      </c>
      <c r="I693">
        <v>30</v>
      </c>
      <c r="J693" s="1">
        <v>50</v>
      </c>
      <c r="K693" t="s">
        <v>2071</v>
      </c>
      <c r="M693">
        <v>1.3</v>
      </c>
      <c r="N693" t="s">
        <v>19</v>
      </c>
      <c r="O693" t="s">
        <v>2076</v>
      </c>
      <c r="P693">
        <v>0.87</v>
      </c>
      <c r="Q693" s="2">
        <v>0.87</v>
      </c>
      <c r="S693" s="5">
        <v>1.7399999999999999E-2</v>
      </c>
    </row>
    <row r="694" spans="1:19" x14ac:dyDescent="0.3">
      <c r="A694" t="s">
        <v>1448</v>
      </c>
      <c r="B694" t="s">
        <v>1449</v>
      </c>
      <c r="C694" t="s">
        <v>111</v>
      </c>
      <c r="D694" t="s">
        <v>80</v>
      </c>
      <c r="E694">
        <v>46</v>
      </c>
      <c r="F694" t="s">
        <v>50</v>
      </c>
      <c r="G694" t="s">
        <v>51</v>
      </c>
      <c r="H694" t="s">
        <v>39</v>
      </c>
      <c r="I694">
        <v>28</v>
      </c>
      <c r="J694" s="1">
        <v>30</v>
      </c>
      <c r="K694" t="s">
        <v>2069</v>
      </c>
      <c r="M694">
        <v>4.2</v>
      </c>
      <c r="N694" t="b">
        <v>1</v>
      </c>
      <c r="O694" t="s">
        <v>2076</v>
      </c>
    </row>
    <row r="695" spans="1:19" x14ac:dyDescent="0.3">
      <c r="A695" t="s">
        <v>1450</v>
      </c>
      <c r="B695" t="s">
        <v>1451</v>
      </c>
      <c r="C695" t="s">
        <v>36</v>
      </c>
      <c r="D695" t="s">
        <v>20</v>
      </c>
      <c r="E695">
        <v>36</v>
      </c>
      <c r="F695" t="s">
        <v>254</v>
      </c>
      <c r="G695" t="s">
        <v>255</v>
      </c>
      <c r="H695" t="s">
        <v>47</v>
      </c>
      <c r="I695">
        <v>14</v>
      </c>
      <c r="J695" s="1">
        <v>100</v>
      </c>
      <c r="K695" t="s">
        <v>2065</v>
      </c>
      <c r="L695" t="s">
        <v>2070</v>
      </c>
      <c r="M695">
        <v>3.7</v>
      </c>
      <c r="N695">
        <v>0</v>
      </c>
      <c r="O695" t="s">
        <v>2077</v>
      </c>
    </row>
    <row r="696" spans="1:19" x14ac:dyDescent="0.3">
      <c r="A696" t="s">
        <v>1452</v>
      </c>
      <c r="B696" t="s">
        <v>1453</v>
      </c>
      <c r="C696" t="s">
        <v>36</v>
      </c>
      <c r="D696" t="s">
        <v>20</v>
      </c>
      <c r="E696">
        <v>42</v>
      </c>
      <c r="F696" t="s">
        <v>104</v>
      </c>
      <c r="G696" t="s">
        <v>105</v>
      </c>
      <c r="H696" t="s">
        <v>79</v>
      </c>
      <c r="I696">
        <v>10</v>
      </c>
      <c r="J696" s="1">
        <v>20</v>
      </c>
      <c r="K696" t="s">
        <v>2068</v>
      </c>
      <c r="L696" t="s">
        <v>2072</v>
      </c>
      <c r="M696">
        <v>2.4</v>
      </c>
      <c r="N696" t="s">
        <v>96</v>
      </c>
      <c r="O696" t="s">
        <v>2076</v>
      </c>
      <c r="P696">
        <v>0.92</v>
      </c>
      <c r="Q696" s="2">
        <v>0.92</v>
      </c>
      <c r="S696" s="5">
        <v>4.5999999999999999E-2</v>
      </c>
    </row>
    <row r="697" spans="1:19" x14ac:dyDescent="0.3">
      <c r="A697" t="s">
        <v>1454</v>
      </c>
      <c r="B697" t="s">
        <v>1455</v>
      </c>
      <c r="C697" t="s">
        <v>15</v>
      </c>
      <c r="D697" t="s">
        <v>20</v>
      </c>
      <c r="E697">
        <v>23</v>
      </c>
      <c r="F697" t="s">
        <v>104</v>
      </c>
      <c r="G697" t="s">
        <v>105</v>
      </c>
      <c r="H697" t="s">
        <v>66</v>
      </c>
      <c r="I697">
        <v>1</v>
      </c>
      <c r="J697" s="1">
        <v>40</v>
      </c>
      <c r="K697" t="s">
        <v>2065</v>
      </c>
      <c r="L697" t="s">
        <v>2067</v>
      </c>
      <c r="M697">
        <v>4.9000000000000004</v>
      </c>
      <c r="N697" t="s">
        <v>19</v>
      </c>
      <c r="O697" t="s">
        <v>2076</v>
      </c>
      <c r="P697">
        <v>0.78</v>
      </c>
      <c r="Q697" s="2">
        <v>0.78</v>
      </c>
      <c r="S697" s="5">
        <v>1.95E-2</v>
      </c>
    </row>
    <row r="698" spans="1:19" x14ac:dyDescent="0.3">
      <c r="A698" t="s">
        <v>1456</v>
      </c>
      <c r="B698" t="s">
        <v>1457</v>
      </c>
      <c r="C698" t="s">
        <v>15</v>
      </c>
      <c r="D698" t="s">
        <v>20</v>
      </c>
      <c r="F698" t="s">
        <v>42</v>
      </c>
      <c r="G698" t="s">
        <v>43</v>
      </c>
      <c r="H698" t="s">
        <v>108</v>
      </c>
      <c r="I698">
        <v>9</v>
      </c>
      <c r="J698" s="1">
        <v>40</v>
      </c>
      <c r="K698" t="s">
        <v>2067</v>
      </c>
      <c r="M698">
        <v>2.4</v>
      </c>
      <c r="N698" t="s">
        <v>19</v>
      </c>
      <c r="O698" t="s">
        <v>2076</v>
      </c>
      <c r="P698">
        <v>82</v>
      </c>
      <c r="Q698" s="2">
        <v>0.82</v>
      </c>
      <c r="R698">
        <v>0.82</v>
      </c>
      <c r="S698" s="5">
        <v>2.0500000000000001E-2</v>
      </c>
    </row>
    <row r="699" spans="1:19" x14ac:dyDescent="0.3">
      <c r="A699" t="s">
        <v>1458</v>
      </c>
      <c r="B699" t="s">
        <v>1459</v>
      </c>
      <c r="C699" t="s">
        <v>15</v>
      </c>
      <c r="D699" t="s">
        <v>20</v>
      </c>
      <c r="E699">
        <v>47</v>
      </c>
      <c r="F699" t="s">
        <v>188</v>
      </c>
      <c r="G699" t="s">
        <v>189</v>
      </c>
      <c r="H699" t="s">
        <v>108</v>
      </c>
      <c r="I699">
        <v>14</v>
      </c>
      <c r="J699" s="1">
        <v>30</v>
      </c>
      <c r="K699" t="s">
        <v>2065</v>
      </c>
      <c r="L699" t="s">
        <v>2069</v>
      </c>
      <c r="M699">
        <v>0</v>
      </c>
      <c r="N699" t="b">
        <v>1</v>
      </c>
      <c r="O699" t="s">
        <v>2076</v>
      </c>
      <c r="P699">
        <v>0.86</v>
      </c>
      <c r="Q699" s="2">
        <v>0.86</v>
      </c>
      <c r="S699" s="5">
        <v>2.8666666666666701E-2</v>
      </c>
    </row>
    <row r="700" spans="1:19" x14ac:dyDescent="0.3">
      <c r="A700" t="s">
        <v>1460</v>
      </c>
      <c r="B700" t="s">
        <v>1461</v>
      </c>
      <c r="C700" t="s">
        <v>36</v>
      </c>
      <c r="D700" t="s">
        <v>20</v>
      </c>
      <c r="E700">
        <v>56</v>
      </c>
      <c r="F700" t="s">
        <v>188</v>
      </c>
      <c r="G700" t="s">
        <v>189</v>
      </c>
      <c r="H700" t="s">
        <v>47</v>
      </c>
      <c r="I700">
        <v>30</v>
      </c>
      <c r="J700" s="1">
        <v>40</v>
      </c>
      <c r="K700" t="s">
        <v>2067</v>
      </c>
      <c r="M700">
        <v>3.3</v>
      </c>
      <c r="N700" t="s">
        <v>19</v>
      </c>
      <c r="O700" t="s">
        <v>2076</v>
      </c>
      <c r="P700">
        <v>0.82</v>
      </c>
      <c r="Q700" s="2">
        <v>0.82</v>
      </c>
      <c r="S700" s="5">
        <v>2.0500000000000001E-2</v>
      </c>
    </row>
    <row r="701" spans="1:19" x14ac:dyDescent="0.3">
      <c r="A701" t="s">
        <v>1462</v>
      </c>
      <c r="B701" t="s">
        <v>1463</v>
      </c>
      <c r="C701" t="s">
        <v>15</v>
      </c>
      <c r="D701" t="s">
        <v>20</v>
      </c>
      <c r="E701">
        <v>51</v>
      </c>
      <c r="F701" t="s">
        <v>77</v>
      </c>
      <c r="G701" t="s">
        <v>78</v>
      </c>
      <c r="H701" t="s">
        <v>79</v>
      </c>
      <c r="I701">
        <v>5</v>
      </c>
      <c r="J701" s="1">
        <v>50</v>
      </c>
      <c r="K701" t="s">
        <v>2071</v>
      </c>
      <c r="M701">
        <v>4.2</v>
      </c>
      <c r="N701">
        <v>1</v>
      </c>
      <c r="O701" t="s">
        <v>2076</v>
      </c>
      <c r="P701">
        <v>0.82</v>
      </c>
      <c r="Q701" s="2">
        <v>0.82</v>
      </c>
      <c r="S701" s="5">
        <v>1.6400000000000001E-2</v>
      </c>
    </row>
    <row r="702" spans="1:19" x14ac:dyDescent="0.3">
      <c r="A702" t="s">
        <v>1464</v>
      </c>
      <c r="B702" t="s">
        <v>1465</v>
      </c>
      <c r="C702" t="s">
        <v>36</v>
      </c>
      <c r="D702" t="s">
        <v>20</v>
      </c>
      <c r="E702">
        <v>32</v>
      </c>
      <c r="F702" t="s">
        <v>101</v>
      </c>
      <c r="G702" t="s">
        <v>59</v>
      </c>
      <c r="H702" t="s">
        <v>66</v>
      </c>
      <c r="I702">
        <v>1</v>
      </c>
      <c r="J702" s="1">
        <v>100</v>
      </c>
      <c r="K702" t="s">
        <v>2070</v>
      </c>
      <c r="M702">
        <v>3.4</v>
      </c>
      <c r="N702" t="b">
        <v>1</v>
      </c>
      <c r="O702" t="s">
        <v>2076</v>
      </c>
    </row>
    <row r="703" spans="1:19" x14ac:dyDescent="0.3">
      <c r="A703" t="s">
        <v>1466</v>
      </c>
      <c r="B703" t="s">
        <v>1467</v>
      </c>
      <c r="C703" t="s">
        <v>15</v>
      </c>
      <c r="D703" t="s">
        <v>20</v>
      </c>
      <c r="E703">
        <v>60</v>
      </c>
      <c r="F703" t="s">
        <v>91</v>
      </c>
      <c r="G703" t="s">
        <v>59</v>
      </c>
      <c r="H703" t="s">
        <v>18</v>
      </c>
      <c r="I703">
        <v>7</v>
      </c>
      <c r="J703" s="1">
        <v>30</v>
      </c>
      <c r="K703" t="s">
        <v>2068</v>
      </c>
      <c r="L703" t="s">
        <v>2069</v>
      </c>
      <c r="M703">
        <v>0</v>
      </c>
      <c r="N703" t="s">
        <v>67</v>
      </c>
      <c r="O703" t="s">
        <v>2077</v>
      </c>
      <c r="P703">
        <v>0.97</v>
      </c>
      <c r="Q703" s="2">
        <v>0.97</v>
      </c>
      <c r="S703" s="5">
        <v>3.2333333333333297E-2</v>
      </c>
    </row>
    <row r="704" spans="1:19" x14ac:dyDescent="0.3">
      <c r="A704" t="s">
        <v>1468</v>
      </c>
      <c r="B704" t="s">
        <v>1469</v>
      </c>
      <c r="C704" t="s">
        <v>15</v>
      </c>
      <c r="D704" t="s">
        <v>20</v>
      </c>
      <c r="E704">
        <v>45</v>
      </c>
      <c r="F704" t="s">
        <v>27</v>
      </c>
      <c r="G704" t="s">
        <v>28</v>
      </c>
      <c r="H704" t="s">
        <v>66</v>
      </c>
      <c r="I704">
        <v>3</v>
      </c>
      <c r="J704" s="1">
        <v>20</v>
      </c>
      <c r="K704" t="s">
        <v>2068</v>
      </c>
      <c r="L704" t="s">
        <v>2072</v>
      </c>
      <c r="M704">
        <v>1.3</v>
      </c>
      <c r="N704" t="s">
        <v>96</v>
      </c>
      <c r="O704" t="s">
        <v>2076</v>
      </c>
      <c r="P704">
        <v>0.91</v>
      </c>
      <c r="Q704" s="2">
        <v>0.91</v>
      </c>
      <c r="S704" s="5">
        <v>4.5499999999999999E-2</v>
      </c>
    </row>
    <row r="705" spans="1:19" x14ac:dyDescent="0.3">
      <c r="A705" t="s">
        <v>1470</v>
      </c>
      <c r="B705" t="s">
        <v>1471</v>
      </c>
      <c r="C705" t="s">
        <v>15</v>
      </c>
      <c r="D705" t="s">
        <v>20</v>
      </c>
      <c r="E705">
        <v>20</v>
      </c>
      <c r="F705" t="s">
        <v>158</v>
      </c>
      <c r="G705" t="s">
        <v>159</v>
      </c>
      <c r="H705" t="s">
        <v>33</v>
      </c>
      <c r="I705">
        <v>2</v>
      </c>
      <c r="J705" s="1">
        <v>40</v>
      </c>
      <c r="K705" t="s">
        <v>2065</v>
      </c>
      <c r="L705" t="s">
        <v>2067</v>
      </c>
      <c r="M705">
        <v>2.1</v>
      </c>
      <c r="N705" t="s">
        <v>53</v>
      </c>
      <c r="O705" t="s">
        <v>2077</v>
      </c>
      <c r="P705">
        <v>0.64</v>
      </c>
      <c r="Q705" s="2">
        <v>0.64</v>
      </c>
      <c r="S705" s="5">
        <v>1.6E-2</v>
      </c>
    </row>
    <row r="706" spans="1:19" x14ac:dyDescent="0.3">
      <c r="A706" t="s">
        <v>1472</v>
      </c>
      <c r="B706" t="s">
        <v>1473</v>
      </c>
      <c r="C706" t="s">
        <v>36</v>
      </c>
      <c r="D706" t="s">
        <v>20</v>
      </c>
      <c r="E706">
        <v>36</v>
      </c>
      <c r="F706" t="s">
        <v>83</v>
      </c>
      <c r="G706" t="s">
        <v>84</v>
      </c>
      <c r="H706" t="s">
        <v>79</v>
      </c>
      <c r="I706">
        <v>3</v>
      </c>
      <c r="J706" s="1">
        <v>50</v>
      </c>
      <c r="K706" t="s">
        <v>2068</v>
      </c>
      <c r="L706" t="s">
        <v>2071</v>
      </c>
      <c r="M706">
        <v>1.3</v>
      </c>
      <c r="N706">
        <v>1</v>
      </c>
      <c r="O706" t="s">
        <v>2076</v>
      </c>
      <c r="P706">
        <v>0.77</v>
      </c>
      <c r="Q706" s="2">
        <v>0.77</v>
      </c>
      <c r="S706" s="5">
        <v>1.54E-2</v>
      </c>
    </row>
    <row r="707" spans="1:19" x14ac:dyDescent="0.3">
      <c r="A707" t="s">
        <v>1474</v>
      </c>
      <c r="B707" t="s">
        <v>1475</v>
      </c>
      <c r="C707" t="s">
        <v>36</v>
      </c>
      <c r="D707" t="s">
        <v>20</v>
      </c>
      <c r="E707">
        <v>32</v>
      </c>
      <c r="F707" t="s">
        <v>155</v>
      </c>
      <c r="G707" t="s">
        <v>17</v>
      </c>
      <c r="H707" t="s">
        <v>66</v>
      </c>
      <c r="I707">
        <v>1</v>
      </c>
      <c r="J707" s="1">
        <v>50</v>
      </c>
      <c r="K707" t="s">
        <v>2065</v>
      </c>
      <c r="L707" t="s">
        <v>2071</v>
      </c>
      <c r="N707" t="s">
        <v>19</v>
      </c>
      <c r="O707" t="s">
        <v>2076</v>
      </c>
      <c r="P707">
        <v>0.7</v>
      </c>
      <c r="Q707" s="2">
        <v>0.7</v>
      </c>
      <c r="S707" s="5">
        <v>1.4E-2</v>
      </c>
    </row>
    <row r="708" spans="1:19" x14ac:dyDescent="0.3">
      <c r="A708" t="s">
        <v>1476</v>
      </c>
      <c r="B708" t="s">
        <v>1477</v>
      </c>
      <c r="C708" t="s">
        <v>15</v>
      </c>
      <c r="D708" t="s">
        <v>20</v>
      </c>
      <c r="E708">
        <v>31</v>
      </c>
      <c r="F708" t="s">
        <v>188</v>
      </c>
      <c r="G708" t="s">
        <v>189</v>
      </c>
      <c r="H708" t="s">
        <v>66</v>
      </c>
      <c r="I708">
        <v>0</v>
      </c>
      <c r="J708" s="1">
        <v>50</v>
      </c>
      <c r="K708" t="s">
        <v>2071</v>
      </c>
      <c r="M708">
        <v>1.1000000000000001</v>
      </c>
      <c r="N708" t="s">
        <v>96</v>
      </c>
      <c r="O708" t="s">
        <v>2076</v>
      </c>
      <c r="P708">
        <v>0.73</v>
      </c>
      <c r="Q708" s="2">
        <v>0.73</v>
      </c>
      <c r="S708" s="5">
        <v>1.46E-2</v>
      </c>
    </row>
    <row r="709" spans="1:19" x14ac:dyDescent="0.3">
      <c r="A709" t="s">
        <v>1478</v>
      </c>
      <c r="B709" t="s">
        <v>1479</v>
      </c>
      <c r="C709" t="s">
        <v>15</v>
      </c>
      <c r="D709" t="s">
        <v>20</v>
      </c>
      <c r="E709">
        <v>35</v>
      </c>
      <c r="F709" t="s">
        <v>42</v>
      </c>
      <c r="G709" t="s">
        <v>43</v>
      </c>
      <c r="H709" t="s">
        <v>39</v>
      </c>
      <c r="I709">
        <v>5</v>
      </c>
      <c r="J709" s="1">
        <v>75</v>
      </c>
      <c r="K709" t="s">
        <v>2065</v>
      </c>
      <c r="L709" t="s">
        <v>2066</v>
      </c>
      <c r="M709">
        <v>3.2</v>
      </c>
      <c r="N709" t="b">
        <v>0</v>
      </c>
      <c r="O709" t="s">
        <v>2077</v>
      </c>
      <c r="P709">
        <v>0.72</v>
      </c>
      <c r="Q709" s="2">
        <v>0.72</v>
      </c>
      <c r="S709" s="5">
        <v>9.5999999999999992E-3</v>
      </c>
    </row>
    <row r="710" spans="1:19" x14ac:dyDescent="0.3">
      <c r="A710" t="s">
        <v>1480</v>
      </c>
      <c r="B710" t="s">
        <v>1481</v>
      </c>
      <c r="C710" t="s">
        <v>15</v>
      </c>
      <c r="D710" t="s">
        <v>20</v>
      </c>
      <c r="E710">
        <v>32</v>
      </c>
      <c r="F710" t="s">
        <v>27</v>
      </c>
      <c r="G710" t="s">
        <v>28</v>
      </c>
      <c r="H710" t="s">
        <v>79</v>
      </c>
      <c r="I710">
        <v>0</v>
      </c>
      <c r="J710" s="1">
        <v>100</v>
      </c>
      <c r="K710" t="s">
        <v>2070</v>
      </c>
      <c r="M710">
        <v>1.4</v>
      </c>
      <c r="N710">
        <v>1</v>
      </c>
      <c r="O710" t="s">
        <v>2076</v>
      </c>
      <c r="P710">
        <v>0.81</v>
      </c>
      <c r="Q710" s="2">
        <v>0.81</v>
      </c>
      <c r="S710" s="5">
        <v>8.0999999999999996E-3</v>
      </c>
    </row>
    <row r="711" spans="1:19" x14ac:dyDescent="0.3">
      <c r="A711" t="s">
        <v>1482</v>
      </c>
      <c r="B711" t="s">
        <v>1483</v>
      </c>
      <c r="C711" t="s">
        <v>15</v>
      </c>
      <c r="D711" t="s">
        <v>20</v>
      </c>
      <c r="F711" t="s">
        <v>27</v>
      </c>
      <c r="G711" t="s">
        <v>28</v>
      </c>
      <c r="H711" t="s">
        <v>18</v>
      </c>
      <c r="I711">
        <v>8</v>
      </c>
      <c r="J711" s="1">
        <v>40</v>
      </c>
      <c r="K711" t="s">
        <v>2065</v>
      </c>
      <c r="L711" t="s">
        <v>2067</v>
      </c>
      <c r="M711">
        <v>0</v>
      </c>
      <c r="N711" t="s">
        <v>53</v>
      </c>
      <c r="O711" t="s">
        <v>2077</v>
      </c>
      <c r="P711">
        <v>0.64</v>
      </c>
      <c r="Q711" s="2">
        <v>0.64</v>
      </c>
      <c r="S711" s="5">
        <v>1.6E-2</v>
      </c>
    </row>
    <row r="712" spans="1:19" x14ac:dyDescent="0.3">
      <c r="A712" t="s">
        <v>1484</v>
      </c>
      <c r="B712" t="s">
        <v>1485</v>
      </c>
      <c r="C712" t="s">
        <v>36</v>
      </c>
      <c r="D712" t="s">
        <v>20</v>
      </c>
      <c r="E712">
        <v>23</v>
      </c>
      <c r="F712" t="s">
        <v>42</v>
      </c>
      <c r="G712" t="s">
        <v>43</v>
      </c>
      <c r="H712" t="s">
        <v>18</v>
      </c>
      <c r="I712">
        <v>1</v>
      </c>
      <c r="J712" s="1">
        <v>40</v>
      </c>
      <c r="K712" t="s">
        <v>2067</v>
      </c>
      <c r="M712">
        <v>0</v>
      </c>
      <c r="N712">
        <v>0</v>
      </c>
      <c r="O712" t="s">
        <v>2077</v>
      </c>
      <c r="P712">
        <v>0.64</v>
      </c>
      <c r="Q712" s="2">
        <v>0.64</v>
      </c>
      <c r="S712" s="5">
        <v>1.6E-2</v>
      </c>
    </row>
    <row r="713" spans="1:19" x14ac:dyDescent="0.3">
      <c r="A713" t="s">
        <v>1486</v>
      </c>
      <c r="B713" t="s">
        <v>1487</v>
      </c>
      <c r="C713" t="s">
        <v>15</v>
      </c>
      <c r="D713" t="s">
        <v>20</v>
      </c>
      <c r="E713">
        <v>20</v>
      </c>
      <c r="F713" t="s">
        <v>46</v>
      </c>
      <c r="G713" t="s">
        <v>17</v>
      </c>
      <c r="H713" t="s">
        <v>47</v>
      </c>
      <c r="I713">
        <v>2</v>
      </c>
      <c r="J713" s="1">
        <v>20</v>
      </c>
      <c r="K713" t="s">
        <v>2072</v>
      </c>
      <c r="M713">
        <v>3.9</v>
      </c>
      <c r="N713" t="b">
        <v>0</v>
      </c>
      <c r="O713" t="s">
        <v>2077</v>
      </c>
      <c r="P713">
        <v>0.84</v>
      </c>
      <c r="Q713" s="2">
        <v>0.84</v>
      </c>
      <c r="S713" s="5">
        <v>4.2000000000000003E-2</v>
      </c>
    </row>
    <row r="714" spans="1:19" x14ac:dyDescent="0.3">
      <c r="A714" t="s">
        <v>1488</v>
      </c>
      <c r="B714" t="s">
        <v>1489</v>
      </c>
      <c r="C714" t="s">
        <v>36</v>
      </c>
      <c r="D714" t="s">
        <v>20</v>
      </c>
      <c r="E714">
        <v>20</v>
      </c>
      <c r="F714" t="s">
        <v>83</v>
      </c>
      <c r="G714" t="s">
        <v>84</v>
      </c>
      <c r="H714" t="s">
        <v>33</v>
      </c>
      <c r="I714">
        <v>1</v>
      </c>
      <c r="J714" s="1">
        <v>50</v>
      </c>
      <c r="K714" t="s">
        <v>2071</v>
      </c>
      <c r="M714">
        <v>3.1</v>
      </c>
      <c r="P714">
        <v>0.71</v>
      </c>
      <c r="Q714" s="2">
        <v>0.71</v>
      </c>
      <c r="S714" s="5">
        <v>1.4200000000000001E-2</v>
      </c>
    </row>
    <row r="715" spans="1:19" x14ac:dyDescent="0.3">
      <c r="A715" t="s">
        <v>1490</v>
      </c>
      <c r="B715" t="s">
        <v>1491</v>
      </c>
      <c r="C715" t="s">
        <v>15</v>
      </c>
      <c r="D715" t="s">
        <v>20</v>
      </c>
      <c r="E715">
        <v>38</v>
      </c>
      <c r="F715" t="s">
        <v>77</v>
      </c>
      <c r="G715" t="s">
        <v>78</v>
      </c>
      <c r="H715" t="s">
        <v>39</v>
      </c>
      <c r="I715">
        <v>3</v>
      </c>
      <c r="J715" s="1">
        <v>30</v>
      </c>
      <c r="K715" t="s">
        <v>2069</v>
      </c>
      <c r="M715">
        <v>3.5</v>
      </c>
      <c r="N715" t="s">
        <v>67</v>
      </c>
      <c r="O715" t="s">
        <v>2077</v>
      </c>
      <c r="P715">
        <v>0.97</v>
      </c>
      <c r="Q715" s="2">
        <v>0.97</v>
      </c>
      <c r="S715" s="5">
        <v>3.2333333333333297E-2</v>
      </c>
    </row>
    <row r="716" spans="1:19" x14ac:dyDescent="0.3">
      <c r="A716" t="s">
        <v>1492</v>
      </c>
      <c r="B716" t="s">
        <v>1493</v>
      </c>
      <c r="C716" t="s">
        <v>111</v>
      </c>
      <c r="D716" t="s">
        <v>80</v>
      </c>
      <c r="E716">
        <v>49</v>
      </c>
      <c r="F716" t="s">
        <v>104</v>
      </c>
      <c r="G716" t="s">
        <v>105</v>
      </c>
      <c r="H716" t="s">
        <v>108</v>
      </c>
      <c r="I716">
        <v>2</v>
      </c>
      <c r="J716" s="1">
        <v>100</v>
      </c>
      <c r="K716" t="s">
        <v>2065</v>
      </c>
      <c r="L716" t="s">
        <v>2070</v>
      </c>
      <c r="M716">
        <v>3.4</v>
      </c>
      <c r="N716">
        <v>1</v>
      </c>
      <c r="O716" t="s">
        <v>2076</v>
      </c>
      <c r="P716">
        <v>0.85</v>
      </c>
      <c r="Q716" s="2">
        <v>0.85</v>
      </c>
      <c r="S716" s="5">
        <v>8.5000000000000006E-3</v>
      </c>
    </row>
    <row r="717" spans="1:19" x14ac:dyDescent="0.3">
      <c r="A717" t="s">
        <v>1494</v>
      </c>
      <c r="B717" t="s">
        <v>1495</v>
      </c>
      <c r="C717" t="s">
        <v>111</v>
      </c>
      <c r="D717" t="s">
        <v>80</v>
      </c>
      <c r="E717">
        <v>41</v>
      </c>
      <c r="F717" t="s">
        <v>50</v>
      </c>
      <c r="G717" t="s">
        <v>51</v>
      </c>
      <c r="H717" t="s">
        <v>66</v>
      </c>
      <c r="I717">
        <v>2</v>
      </c>
      <c r="J717" s="1">
        <v>100</v>
      </c>
      <c r="K717" t="s">
        <v>2068</v>
      </c>
      <c r="L717" t="s">
        <v>2070</v>
      </c>
      <c r="M717">
        <v>4.5</v>
      </c>
      <c r="N717" t="s">
        <v>53</v>
      </c>
      <c r="O717" t="s">
        <v>2077</v>
      </c>
      <c r="P717">
        <v>75</v>
      </c>
      <c r="Q717" s="2">
        <v>0.75</v>
      </c>
      <c r="R717">
        <v>0.75</v>
      </c>
      <c r="S717" s="5">
        <v>7.4999999999999997E-3</v>
      </c>
    </row>
    <row r="718" spans="1:19" x14ac:dyDescent="0.3">
      <c r="A718" t="s">
        <v>1496</v>
      </c>
      <c r="B718" t="s">
        <v>1497</v>
      </c>
      <c r="C718" t="s">
        <v>76</v>
      </c>
      <c r="D718" t="s">
        <v>80</v>
      </c>
      <c r="E718">
        <v>42</v>
      </c>
      <c r="F718" t="s">
        <v>50</v>
      </c>
      <c r="G718" t="s">
        <v>51</v>
      </c>
      <c r="H718" t="s">
        <v>66</v>
      </c>
      <c r="I718">
        <v>24</v>
      </c>
      <c r="J718" s="1">
        <v>40</v>
      </c>
      <c r="K718" t="s">
        <v>2068</v>
      </c>
      <c r="L718" t="s">
        <v>2067</v>
      </c>
      <c r="N718" t="b">
        <v>0</v>
      </c>
      <c r="O718" t="s">
        <v>2077</v>
      </c>
      <c r="P718">
        <v>0.88</v>
      </c>
      <c r="Q718" s="2">
        <v>0.88</v>
      </c>
      <c r="S718" s="5">
        <v>2.1999999999999999E-2</v>
      </c>
    </row>
    <row r="719" spans="1:19" x14ac:dyDescent="0.3">
      <c r="A719" t="s">
        <v>1498</v>
      </c>
      <c r="B719" t="s">
        <v>1499</v>
      </c>
      <c r="C719" t="s">
        <v>111</v>
      </c>
      <c r="D719" t="s">
        <v>80</v>
      </c>
      <c r="E719">
        <v>31</v>
      </c>
      <c r="F719" t="s">
        <v>101</v>
      </c>
      <c r="G719" t="s">
        <v>59</v>
      </c>
      <c r="H719" t="s">
        <v>52</v>
      </c>
      <c r="I719">
        <v>0</v>
      </c>
      <c r="J719" s="1">
        <v>30</v>
      </c>
      <c r="K719" t="s">
        <v>2069</v>
      </c>
      <c r="M719">
        <v>2.2999999999999998</v>
      </c>
      <c r="N719" t="s">
        <v>67</v>
      </c>
      <c r="O719" t="s">
        <v>2077</v>
      </c>
      <c r="P719">
        <v>0.79</v>
      </c>
      <c r="Q719" s="2">
        <v>0.79</v>
      </c>
      <c r="S719" s="5">
        <v>2.6333333333333299E-2</v>
      </c>
    </row>
    <row r="720" spans="1:19" x14ac:dyDescent="0.3">
      <c r="A720" t="s">
        <v>1500</v>
      </c>
      <c r="B720" t="s">
        <v>1501</v>
      </c>
      <c r="C720" t="s">
        <v>76</v>
      </c>
      <c r="D720" t="s">
        <v>80</v>
      </c>
      <c r="E720">
        <v>39</v>
      </c>
      <c r="F720" t="s">
        <v>118</v>
      </c>
      <c r="G720" t="s">
        <v>119</v>
      </c>
      <c r="H720" t="s">
        <v>52</v>
      </c>
      <c r="I720">
        <v>18</v>
      </c>
      <c r="J720" s="1">
        <v>20</v>
      </c>
      <c r="K720" t="s">
        <v>2072</v>
      </c>
      <c r="M720">
        <v>2.5</v>
      </c>
      <c r="N720" t="s">
        <v>19</v>
      </c>
      <c r="O720" t="s">
        <v>2076</v>
      </c>
      <c r="P720">
        <v>0.61</v>
      </c>
      <c r="Q720" s="2">
        <v>0.61</v>
      </c>
      <c r="S720" s="5">
        <v>3.0499999999999999E-2</v>
      </c>
    </row>
    <row r="721" spans="1:19" x14ac:dyDescent="0.3">
      <c r="A721" t="s">
        <v>1502</v>
      </c>
      <c r="B721" t="s">
        <v>1503</v>
      </c>
      <c r="C721" t="s">
        <v>76</v>
      </c>
      <c r="D721" t="s">
        <v>80</v>
      </c>
      <c r="E721">
        <v>55</v>
      </c>
      <c r="F721" t="s">
        <v>46</v>
      </c>
      <c r="G721" t="s">
        <v>17</v>
      </c>
      <c r="H721" t="s">
        <v>63</v>
      </c>
      <c r="I721">
        <v>15</v>
      </c>
      <c r="N721" t="s">
        <v>96</v>
      </c>
      <c r="O721" t="s">
        <v>2076</v>
      </c>
      <c r="P721">
        <v>0.86</v>
      </c>
      <c r="Q721" s="2">
        <v>0.86</v>
      </c>
    </row>
    <row r="722" spans="1:19" x14ac:dyDescent="0.3">
      <c r="A722" t="s">
        <v>1504</v>
      </c>
      <c r="B722" t="s">
        <v>1505</v>
      </c>
      <c r="C722" t="s">
        <v>76</v>
      </c>
      <c r="D722" t="s">
        <v>80</v>
      </c>
      <c r="E722">
        <v>25</v>
      </c>
      <c r="F722" t="s">
        <v>118</v>
      </c>
      <c r="G722" t="s">
        <v>119</v>
      </c>
      <c r="H722" t="s">
        <v>47</v>
      </c>
      <c r="I722">
        <v>3</v>
      </c>
      <c r="J722" s="1">
        <v>50</v>
      </c>
      <c r="K722" t="s">
        <v>2065</v>
      </c>
      <c r="L722" t="s">
        <v>2071</v>
      </c>
      <c r="M722">
        <v>3.2</v>
      </c>
      <c r="N722" t="b">
        <v>1</v>
      </c>
      <c r="O722" t="s">
        <v>2076</v>
      </c>
      <c r="P722">
        <v>0.74</v>
      </c>
      <c r="Q722" s="2">
        <v>0.74</v>
      </c>
      <c r="S722" s="5">
        <v>1.4800000000000001E-2</v>
      </c>
    </row>
    <row r="723" spans="1:19" x14ac:dyDescent="0.3">
      <c r="A723" t="s">
        <v>1506</v>
      </c>
      <c r="B723" t="s">
        <v>1507</v>
      </c>
      <c r="C723" t="s">
        <v>111</v>
      </c>
      <c r="D723" t="s">
        <v>80</v>
      </c>
      <c r="E723">
        <v>21</v>
      </c>
      <c r="F723" t="s">
        <v>91</v>
      </c>
      <c r="G723" t="s">
        <v>59</v>
      </c>
      <c r="H723" t="s">
        <v>108</v>
      </c>
      <c r="I723">
        <v>0</v>
      </c>
      <c r="J723" s="1">
        <v>40</v>
      </c>
      <c r="K723" t="s">
        <v>2068</v>
      </c>
      <c r="L723" t="s">
        <v>2067</v>
      </c>
      <c r="M723">
        <v>1.1000000000000001</v>
      </c>
      <c r="N723">
        <v>0</v>
      </c>
      <c r="O723" t="s">
        <v>2077</v>
      </c>
      <c r="P723">
        <v>0.79</v>
      </c>
      <c r="Q723" s="2">
        <v>0.79</v>
      </c>
      <c r="S723" s="5">
        <v>1.975E-2</v>
      </c>
    </row>
    <row r="724" spans="1:19" x14ac:dyDescent="0.3">
      <c r="A724" t="s">
        <v>1508</v>
      </c>
      <c r="B724" t="s">
        <v>1509</v>
      </c>
      <c r="C724" t="s">
        <v>76</v>
      </c>
      <c r="D724" t="s">
        <v>80</v>
      </c>
      <c r="E724">
        <v>35</v>
      </c>
      <c r="F724" t="s">
        <v>42</v>
      </c>
      <c r="G724" t="s">
        <v>43</v>
      </c>
      <c r="H724" t="s">
        <v>79</v>
      </c>
      <c r="I724">
        <v>16</v>
      </c>
      <c r="J724" s="1">
        <v>100</v>
      </c>
      <c r="K724" t="s">
        <v>2068</v>
      </c>
      <c r="L724" t="s">
        <v>2070</v>
      </c>
      <c r="M724">
        <v>4.3</v>
      </c>
      <c r="N724">
        <v>1</v>
      </c>
      <c r="O724" t="s">
        <v>2076</v>
      </c>
      <c r="P724">
        <v>0.74</v>
      </c>
      <c r="Q724" s="2">
        <v>0.74</v>
      </c>
      <c r="S724" s="5">
        <v>7.4000000000000003E-3</v>
      </c>
    </row>
    <row r="725" spans="1:19" x14ac:dyDescent="0.3">
      <c r="A725" t="s">
        <v>1510</v>
      </c>
      <c r="B725" t="s">
        <v>1511</v>
      </c>
      <c r="C725" t="s">
        <v>76</v>
      </c>
      <c r="D725" t="s">
        <v>80</v>
      </c>
      <c r="E725">
        <v>51</v>
      </c>
      <c r="F725" t="s">
        <v>104</v>
      </c>
      <c r="G725" t="s">
        <v>105</v>
      </c>
      <c r="H725" t="s">
        <v>47</v>
      </c>
      <c r="I725">
        <v>23</v>
      </c>
      <c r="J725" s="1">
        <v>20</v>
      </c>
      <c r="K725" t="s">
        <v>2072</v>
      </c>
      <c r="M725">
        <v>2.5</v>
      </c>
      <c r="N725" t="b">
        <v>0</v>
      </c>
      <c r="O725" t="s">
        <v>2077</v>
      </c>
      <c r="P725">
        <v>0.8</v>
      </c>
      <c r="Q725" s="2">
        <v>0.8</v>
      </c>
      <c r="S725" s="5">
        <v>0.04</v>
      </c>
    </row>
    <row r="726" spans="1:19" x14ac:dyDescent="0.3">
      <c r="A726" t="s">
        <v>1512</v>
      </c>
      <c r="B726" t="s">
        <v>1513</v>
      </c>
      <c r="C726" t="s">
        <v>76</v>
      </c>
      <c r="D726" t="s">
        <v>80</v>
      </c>
      <c r="E726">
        <v>21</v>
      </c>
      <c r="F726" t="s">
        <v>46</v>
      </c>
      <c r="G726" t="s">
        <v>17</v>
      </c>
      <c r="H726" t="s">
        <v>108</v>
      </c>
      <c r="I726">
        <v>2</v>
      </c>
      <c r="J726" s="1">
        <v>100</v>
      </c>
      <c r="K726" t="s">
        <v>2070</v>
      </c>
      <c r="M726">
        <v>3.7</v>
      </c>
      <c r="N726" t="s">
        <v>19</v>
      </c>
      <c r="O726" t="s">
        <v>2076</v>
      </c>
      <c r="P726">
        <v>73</v>
      </c>
      <c r="Q726" s="2">
        <v>0.73</v>
      </c>
      <c r="R726">
        <v>0.73</v>
      </c>
      <c r="S726" s="5">
        <v>7.3000000000000001E-3</v>
      </c>
    </row>
    <row r="727" spans="1:19" x14ac:dyDescent="0.3">
      <c r="A727" t="s">
        <v>1514</v>
      </c>
      <c r="B727" t="s">
        <v>1515</v>
      </c>
      <c r="C727" t="s">
        <v>76</v>
      </c>
      <c r="D727" t="s">
        <v>80</v>
      </c>
      <c r="E727">
        <v>47</v>
      </c>
      <c r="F727" t="s">
        <v>31</v>
      </c>
      <c r="G727" t="s">
        <v>32</v>
      </c>
      <c r="H727" t="s">
        <v>63</v>
      </c>
      <c r="I727">
        <v>12</v>
      </c>
      <c r="J727" s="1">
        <v>40</v>
      </c>
      <c r="K727" t="s">
        <v>2067</v>
      </c>
      <c r="M727">
        <v>4.5</v>
      </c>
      <c r="N727" t="s">
        <v>67</v>
      </c>
      <c r="O727" t="s">
        <v>2077</v>
      </c>
      <c r="P727">
        <v>0.62</v>
      </c>
      <c r="Q727" s="2">
        <v>0.62</v>
      </c>
      <c r="S727" s="5">
        <v>1.55E-2</v>
      </c>
    </row>
    <row r="728" spans="1:19" x14ac:dyDescent="0.3">
      <c r="A728" t="s">
        <v>1516</v>
      </c>
      <c r="B728" t="s">
        <v>1517</v>
      </c>
      <c r="C728" t="s">
        <v>15</v>
      </c>
      <c r="D728" t="s">
        <v>20</v>
      </c>
      <c r="E728">
        <v>46</v>
      </c>
      <c r="F728" t="s">
        <v>23</v>
      </c>
      <c r="G728" t="s">
        <v>24</v>
      </c>
      <c r="H728" t="s">
        <v>47</v>
      </c>
      <c r="I728">
        <v>13</v>
      </c>
      <c r="J728" s="1">
        <v>100</v>
      </c>
      <c r="K728" t="s">
        <v>2065</v>
      </c>
      <c r="L728" t="s">
        <v>2070</v>
      </c>
      <c r="M728">
        <v>0</v>
      </c>
      <c r="N728" t="s">
        <v>96</v>
      </c>
      <c r="O728" t="s">
        <v>2076</v>
      </c>
      <c r="P728">
        <v>0.97</v>
      </c>
      <c r="Q728" s="2">
        <v>0.97</v>
      </c>
      <c r="S728" s="5">
        <v>9.7000000000000003E-3</v>
      </c>
    </row>
    <row r="729" spans="1:19" x14ac:dyDescent="0.3">
      <c r="A729" t="s">
        <v>1518</v>
      </c>
      <c r="B729" t="s">
        <v>1519</v>
      </c>
      <c r="C729" t="s">
        <v>111</v>
      </c>
      <c r="D729" t="s">
        <v>80</v>
      </c>
      <c r="E729">
        <v>43</v>
      </c>
      <c r="F729" t="s">
        <v>91</v>
      </c>
      <c r="G729" t="s">
        <v>59</v>
      </c>
      <c r="H729" t="s">
        <v>52</v>
      </c>
      <c r="I729">
        <v>1</v>
      </c>
      <c r="J729" s="1">
        <v>50</v>
      </c>
      <c r="K729" t="s">
        <v>2068</v>
      </c>
      <c r="L729" t="s">
        <v>2071</v>
      </c>
      <c r="M729">
        <v>4.5999999999999996</v>
      </c>
      <c r="N729" t="b">
        <v>1</v>
      </c>
      <c r="O729" t="s">
        <v>2076</v>
      </c>
      <c r="P729">
        <v>64</v>
      </c>
      <c r="Q729" s="2">
        <v>0.64</v>
      </c>
      <c r="R729">
        <v>0.64</v>
      </c>
      <c r="S729" s="5">
        <v>1.2800000000000001E-2</v>
      </c>
    </row>
    <row r="730" spans="1:19" x14ac:dyDescent="0.3">
      <c r="A730" t="s">
        <v>1520</v>
      </c>
      <c r="B730" t="s">
        <v>1521</v>
      </c>
      <c r="C730" t="s">
        <v>15</v>
      </c>
      <c r="D730" t="s">
        <v>20</v>
      </c>
      <c r="E730">
        <v>44</v>
      </c>
      <c r="F730" t="s">
        <v>46</v>
      </c>
      <c r="G730" t="s">
        <v>17</v>
      </c>
      <c r="H730" t="s">
        <v>108</v>
      </c>
      <c r="I730">
        <v>4</v>
      </c>
      <c r="J730" s="1">
        <v>50</v>
      </c>
      <c r="K730" t="s">
        <v>2065</v>
      </c>
      <c r="L730" t="s">
        <v>2071</v>
      </c>
      <c r="M730">
        <v>0</v>
      </c>
      <c r="N730" t="b">
        <v>1</v>
      </c>
      <c r="O730" t="s">
        <v>2076</v>
      </c>
      <c r="P730">
        <v>0.83</v>
      </c>
      <c r="Q730" s="2">
        <v>0.83</v>
      </c>
      <c r="S730" s="5">
        <v>1.66E-2</v>
      </c>
    </row>
    <row r="731" spans="1:19" x14ac:dyDescent="0.3">
      <c r="A731" t="s">
        <v>1522</v>
      </c>
      <c r="B731" t="s">
        <v>1523</v>
      </c>
      <c r="C731" t="s">
        <v>15</v>
      </c>
      <c r="D731" t="s">
        <v>20</v>
      </c>
      <c r="E731">
        <v>53</v>
      </c>
      <c r="F731" t="s">
        <v>155</v>
      </c>
      <c r="G731" t="s">
        <v>17</v>
      </c>
      <c r="H731" t="s">
        <v>39</v>
      </c>
      <c r="I731">
        <v>21</v>
      </c>
      <c r="J731" s="1">
        <v>50</v>
      </c>
      <c r="K731" t="s">
        <v>2065</v>
      </c>
      <c r="L731" t="s">
        <v>2071</v>
      </c>
      <c r="M731">
        <v>1.4</v>
      </c>
      <c r="N731" t="s">
        <v>53</v>
      </c>
      <c r="O731" t="s">
        <v>2077</v>
      </c>
    </row>
    <row r="732" spans="1:19" x14ac:dyDescent="0.3">
      <c r="A732" t="s">
        <v>1524</v>
      </c>
      <c r="B732" t="s">
        <v>1525</v>
      </c>
      <c r="C732" t="s">
        <v>76</v>
      </c>
      <c r="D732" t="s">
        <v>80</v>
      </c>
      <c r="E732">
        <v>37</v>
      </c>
      <c r="F732" t="s">
        <v>31</v>
      </c>
      <c r="G732" t="s">
        <v>32</v>
      </c>
      <c r="H732" t="s">
        <v>79</v>
      </c>
      <c r="I732">
        <v>11</v>
      </c>
      <c r="J732" s="1">
        <v>40</v>
      </c>
      <c r="K732" t="s">
        <v>2068</v>
      </c>
      <c r="L732" t="s">
        <v>2067</v>
      </c>
      <c r="M732">
        <v>3.6</v>
      </c>
      <c r="N732" t="s">
        <v>53</v>
      </c>
      <c r="O732" t="s">
        <v>2077</v>
      </c>
      <c r="P732">
        <v>0.73</v>
      </c>
      <c r="Q732" s="2">
        <v>0.73</v>
      </c>
      <c r="S732" s="5">
        <v>1.8249999999999999E-2</v>
      </c>
    </row>
    <row r="733" spans="1:19" x14ac:dyDescent="0.3">
      <c r="A733" t="s">
        <v>1526</v>
      </c>
      <c r="B733" t="s">
        <v>1527</v>
      </c>
      <c r="C733" t="s">
        <v>76</v>
      </c>
      <c r="D733" t="s">
        <v>80</v>
      </c>
      <c r="E733">
        <v>58</v>
      </c>
      <c r="F733" t="s">
        <v>46</v>
      </c>
      <c r="G733" t="s">
        <v>17</v>
      </c>
      <c r="H733" t="s">
        <v>33</v>
      </c>
      <c r="I733">
        <v>0</v>
      </c>
      <c r="J733" s="1">
        <v>50</v>
      </c>
      <c r="K733" t="s">
        <v>2071</v>
      </c>
      <c r="M733">
        <v>2.2999999999999998</v>
      </c>
      <c r="N733">
        <v>0</v>
      </c>
      <c r="O733" t="s">
        <v>2077</v>
      </c>
      <c r="P733">
        <v>0.77</v>
      </c>
      <c r="Q733" s="2">
        <v>0.77</v>
      </c>
      <c r="S733" s="5">
        <v>1.54E-2</v>
      </c>
    </row>
    <row r="734" spans="1:19" x14ac:dyDescent="0.3">
      <c r="A734" t="s">
        <v>1528</v>
      </c>
      <c r="B734" t="s">
        <v>1529</v>
      </c>
      <c r="C734" t="s">
        <v>76</v>
      </c>
      <c r="D734" t="s">
        <v>80</v>
      </c>
      <c r="E734">
        <v>57</v>
      </c>
      <c r="F734" t="s">
        <v>91</v>
      </c>
      <c r="G734" t="s">
        <v>59</v>
      </c>
      <c r="H734" t="s">
        <v>60</v>
      </c>
      <c r="I734">
        <v>18</v>
      </c>
      <c r="J734" s="1">
        <v>50</v>
      </c>
      <c r="K734" t="s">
        <v>2071</v>
      </c>
      <c r="M734">
        <v>2.4</v>
      </c>
      <c r="N734">
        <v>1</v>
      </c>
      <c r="O734" t="s">
        <v>2076</v>
      </c>
      <c r="P734">
        <v>0.63</v>
      </c>
      <c r="Q734" s="2">
        <v>0.63</v>
      </c>
      <c r="S734" s="5">
        <v>1.26E-2</v>
      </c>
    </row>
    <row r="735" spans="1:19" x14ac:dyDescent="0.3">
      <c r="A735" t="s">
        <v>1530</v>
      </c>
      <c r="B735" t="s">
        <v>1531</v>
      </c>
      <c r="C735" t="s">
        <v>111</v>
      </c>
      <c r="D735" t="s">
        <v>80</v>
      </c>
      <c r="E735">
        <v>34</v>
      </c>
      <c r="F735" t="s">
        <v>91</v>
      </c>
      <c r="G735" t="s">
        <v>59</v>
      </c>
      <c r="H735" t="s">
        <v>47</v>
      </c>
      <c r="I735">
        <v>3</v>
      </c>
      <c r="M735">
        <v>0</v>
      </c>
      <c r="N735">
        <v>1</v>
      </c>
      <c r="O735" t="s">
        <v>2076</v>
      </c>
      <c r="P735">
        <v>0.71</v>
      </c>
      <c r="Q735" s="2">
        <v>0.71</v>
      </c>
    </row>
    <row r="736" spans="1:19" x14ac:dyDescent="0.3">
      <c r="A736" t="s">
        <v>1532</v>
      </c>
      <c r="B736" t="s">
        <v>1533</v>
      </c>
      <c r="C736" t="s">
        <v>15</v>
      </c>
      <c r="D736" t="s">
        <v>20</v>
      </c>
      <c r="E736">
        <v>50</v>
      </c>
      <c r="F736" t="s">
        <v>101</v>
      </c>
      <c r="G736" t="s">
        <v>59</v>
      </c>
      <c r="H736" t="s">
        <v>79</v>
      </c>
      <c r="I736">
        <v>26</v>
      </c>
      <c r="M736">
        <v>3.6</v>
      </c>
      <c r="N736">
        <v>1</v>
      </c>
      <c r="O736" t="s">
        <v>2076</v>
      </c>
      <c r="P736">
        <v>82</v>
      </c>
      <c r="Q736" s="2">
        <v>0.82</v>
      </c>
      <c r="R736">
        <v>0.82</v>
      </c>
    </row>
    <row r="737" spans="1:19" x14ac:dyDescent="0.3">
      <c r="A737" t="s">
        <v>1534</v>
      </c>
      <c r="B737" t="s">
        <v>1535</v>
      </c>
      <c r="C737" t="s">
        <v>15</v>
      </c>
      <c r="D737" t="s">
        <v>20</v>
      </c>
      <c r="E737">
        <v>47</v>
      </c>
      <c r="F737" t="s">
        <v>42</v>
      </c>
      <c r="G737" t="s">
        <v>43</v>
      </c>
      <c r="H737" t="s">
        <v>66</v>
      </c>
      <c r="I737">
        <v>29</v>
      </c>
      <c r="J737" s="1">
        <v>40</v>
      </c>
      <c r="K737" t="s">
        <v>2065</v>
      </c>
      <c r="L737" t="s">
        <v>2067</v>
      </c>
      <c r="M737">
        <v>4.3</v>
      </c>
      <c r="N737">
        <v>1</v>
      </c>
      <c r="O737" t="s">
        <v>2076</v>
      </c>
      <c r="P737">
        <v>0.95</v>
      </c>
      <c r="Q737" s="2">
        <v>0.95</v>
      </c>
      <c r="S737" s="5">
        <v>2.375E-2</v>
      </c>
    </row>
    <row r="738" spans="1:19" x14ac:dyDescent="0.3">
      <c r="A738" t="s">
        <v>1536</v>
      </c>
      <c r="B738" t="s">
        <v>1537</v>
      </c>
      <c r="C738" t="s">
        <v>36</v>
      </c>
      <c r="D738" t="s">
        <v>20</v>
      </c>
      <c r="E738">
        <v>60</v>
      </c>
      <c r="F738" t="s">
        <v>118</v>
      </c>
      <c r="G738" t="s">
        <v>119</v>
      </c>
      <c r="H738" t="s">
        <v>39</v>
      </c>
      <c r="I738">
        <v>15</v>
      </c>
      <c r="J738" s="1">
        <v>100</v>
      </c>
      <c r="K738" t="s">
        <v>2070</v>
      </c>
      <c r="M738">
        <v>1.5</v>
      </c>
      <c r="N738">
        <v>0</v>
      </c>
      <c r="O738" t="s">
        <v>2077</v>
      </c>
      <c r="P738">
        <v>80</v>
      </c>
      <c r="Q738" s="2">
        <v>0.8</v>
      </c>
      <c r="R738">
        <v>0.8</v>
      </c>
      <c r="S738" s="5">
        <v>8.0000000000000002E-3</v>
      </c>
    </row>
    <row r="739" spans="1:19" x14ac:dyDescent="0.3">
      <c r="A739" t="s">
        <v>1538</v>
      </c>
      <c r="B739" t="s">
        <v>1539</v>
      </c>
      <c r="C739" t="s">
        <v>15</v>
      </c>
      <c r="D739" t="s">
        <v>20</v>
      </c>
      <c r="E739">
        <v>20</v>
      </c>
      <c r="F739" t="s">
        <v>155</v>
      </c>
      <c r="G739" t="s">
        <v>17</v>
      </c>
      <c r="H739" t="s">
        <v>79</v>
      </c>
      <c r="I739">
        <v>2</v>
      </c>
      <c r="M739">
        <v>1.1000000000000001</v>
      </c>
      <c r="N739" t="b">
        <v>0</v>
      </c>
      <c r="O739" t="s">
        <v>2077</v>
      </c>
      <c r="P739">
        <v>0.69</v>
      </c>
      <c r="Q739" s="2">
        <v>0.69</v>
      </c>
    </row>
    <row r="740" spans="1:19" x14ac:dyDescent="0.3">
      <c r="A740" t="s">
        <v>1540</v>
      </c>
      <c r="B740" t="s">
        <v>1541</v>
      </c>
      <c r="C740" t="s">
        <v>76</v>
      </c>
      <c r="D740" t="s">
        <v>80</v>
      </c>
      <c r="E740">
        <v>35</v>
      </c>
      <c r="F740" t="s">
        <v>139</v>
      </c>
      <c r="G740" t="s">
        <v>59</v>
      </c>
      <c r="H740" t="s">
        <v>52</v>
      </c>
      <c r="I740">
        <v>10</v>
      </c>
      <c r="J740" s="1">
        <v>50</v>
      </c>
      <c r="K740" t="s">
        <v>2071</v>
      </c>
      <c r="M740">
        <v>1.4</v>
      </c>
      <c r="N740" t="b">
        <v>1</v>
      </c>
      <c r="O740" t="s">
        <v>2076</v>
      </c>
      <c r="P740">
        <v>0.85</v>
      </c>
      <c r="Q740" s="2">
        <v>0.85</v>
      </c>
      <c r="S740" s="5">
        <v>1.7000000000000001E-2</v>
      </c>
    </row>
    <row r="741" spans="1:19" x14ac:dyDescent="0.3">
      <c r="A741" t="s">
        <v>1542</v>
      </c>
      <c r="B741" t="s">
        <v>1543</v>
      </c>
      <c r="C741" t="s">
        <v>76</v>
      </c>
      <c r="D741" t="s">
        <v>80</v>
      </c>
      <c r="E741">
        <v>22</v>
      </c>
      <c r="F741" t="s">
        <v>31</v>
      </c>
      <c r="G741" t="s">
        <v>32</v>
      </c>
      <c r="H741" t="s">
        <v>47</v>
      </c>
      <c r="I741">
        <v>0</v>
      </c>
      <c r="J741" s="1">
        <v>100</v>
      </c>
      <c r="K741" t="s">
        <v>2070</v>
      </c>
      <c r="M741">
        <v>2.7</v>
      </c>
      <c r="N741" t="b">
        <v>1</v>
      </c>
      <c r="O741" t="s">
        <v>2076</v>
      </c>
      <c r="P741">
        <v>0.64</v>
      </c>
      <c r="Q741" s="2">
        <v>0.64</v>
      </c>
      <c r="S741" s="5">
        <v>6.4000000000000003E-3</v>
      </c>
    </row>
    <row r="742" spans="1:19" x14ac:dyDescent="0.3">
      <c r="A742" t="s">
        <v>1544</v>
      </c>
      <c r="B742" t="s">
        <v>1545</v>
      </c>
      <c r="C742" t="s">
        <v>111</v>
      </c>
      <c r="D742" t="s">
        <v>80</v>
      </c>
      <c r="E742">
        <v>48</v>
      </c>
      <c r="F742" t="s">
        <v>23</v>
      </c>
      <c r="G742" t="s">
        <v>24</v>
      </c>
      <c r="H742" t="s">
        <v>52</v>
      </c>
      <c r="I742">
        <v>7</v>
      </c>
      <c r="J742" s="1">
        <v>50</v>
      </c>
      <c r="K742" t="s">
        <v>2071</v>
      </c>
      <c r="M742">
        <v>4.7</v>
      </c>
      <c r="N742" t="s">
        <v>96</v>
      </c>
      <c r="O742" t="s">
        <v>2076</v>
      </c>
      <c r="P742">
        <v>0.6</v>
      </c>
      <c r="Q742" s="2">
        <v>0.6</v>
      </c>
      <c r="S742" s="5">
        <v>1.2E-2</v>
      </c>
    </row>
    <row r="743" spans="1:19" x14ac:dyDescent="0.3">
      <c r="A743" t="s">
        <v>1546</v>
      </c>
      <c r="B743" t="s">
        <v>1547</v>
      </c>
      <c r="C743" t="s">
        <v>76</v>
      </c>
      <c r="D743" t="s">
        <v>80</v>
      </c>
      <c r="E743">
        <v>45</v>
      </c>
      <c r="F743" t="s">
        <v>139</v>
      </c>
      <c r="G743" t="s">
        <v>59</v>
      </c>
      <c r="H743" t="s">
        <v>63</v>
      </c>
      <c r="I743">
        <v>23</v>
      </c>
      <c r="J743" s="1">
        <v>100</v>
      </c>
      <c r="K743" t="s">
        <v>2070</v>
      </c>
      <c r="M743">
        <v>2.4</v>
      </c>
      <c r="N743" t="b">
        <v>0</v>
      </c>
      <c r="O743" t="s">
        <v>2077</v>
      </c>
      <c r="P743">
        <v>0.96</v>
      </c>
      <c r="Q743" s="2">
        <v>0.96</v>
      </c>
      <c r="S743" s="5">
        <v>9.5999999999999992E-3</v>
      </c>
    </row>
    <row r="744" spans="1:19" x14ac:dyDescent="0.3">
      <c r="A744" t="s">
        <v>1548</v>
      </c>
      <c r="B744" t="s">
        <v>1549</v>
      </c>
      <c r="C744" t="s">
        <v>76</v>
      </c>
      <c r="D744" t="s">
        <v>80</v>
      </c>
      <c r="E744">
        <v>60</v>
      </c>
      <c r="F744" t="s">
        <v>155</v>
      </c>
      <c r="G744" t="s">
        <v>17</v>
      </c>
      <c r="H744" t="s">
        <v>63</v>
      </c>
      <c r="I744">
        <v>34</v>
      </c>
      <c r="J744" s="1">
        <v>100</v>
      </c>
      <c r="K744" t="s">
        <v>2065</v>
      </c>
      <c r="L744" t="s">
        <v>2070</v>
      </c>
      <c r="M744">
        <v>0</v>
      </c>
      <c r="N744" t="b">
        <v>1</v>
      </c>
      <c r="O744" t="s">
        <v>2076</v>
      </c>
      <c r="P744">
        <v>0.74</v>
      </c>
      <c r="Q744" s="2">
        <v>0.74</v>
      </c>
      <c r="S744" s="5">
        <v>7.4000000000000003E-3</v>
      </c>
    </row>
    <row r="745" spans="1:19" x14ac:dyDescent="0.3">
      <c r="A745" t="s">
        <v>1550</v>
      </c>
      <c r="B745" t="s">
        <v>1551</v>
      </c>
      <c r="C745" t="s">
        <v>76</v>
      </c>
      <c r="D745" t="s">
        <v>80</v>
      </c>
      <c r="E745">
        <v>38</v>
      </c>
      <c r="F745" t="s">
        <v>118</v>
      </c>
      <c r="G745" t="s">
        <v>119</v>
      </c>
      <c r="H745" t="s">
        <v>108</v>
      </c>
      <c r="I745">
        <v>15</v>
      </c>
      <c r="J745" s="1">
        <v>40</v>
      </c>
      <c r="K745" t="s">
        <v>2067</v>
      </c>
      <c r="M745">
        <v>4</v>
      </c>
      <c r="P745">
        <v>0.62</v>
      </c>
      <c r="Q745" s="2">
        <v>0.62</v>
      </c>
      <c r="S745" s="5">
        <v>1.55E-2</v>
      </c>
    </row>
    <row r="746" spans="1:19" x14ac:dyDescent="0.3">
      <c r="A746" t="s">
        <v>1552</v>
      </c>
      <c r="B746" t="s">
        <v>1553</v>
      </c>
      <c r="C746" t="s">
        <v>111</v>
      </c>
      <c r="D746" t="s">
        <v>80</v>
      </c>
      <c r="F746" t="s">
        <v>58</v>
      </c>
      <c r="G746" t="s">
        <v>59</v>
      </c>
      <c r="H746" t="s">
        <v>60</v>
      </c>
      <c r="I746">
        <v>5</v>
      </c>
      <c r="J746" s="1">
        <v>100</v>
      </c>
      <c r="K746" t="s">
        <v>2070</v>
      </c>
      <c r="M746">
        <v>1.3</v>
      </c>
      <c r="N746">
        <v>0</v>
      </c>
      <c r="O746" t="s">
        <v>2077</v>
      </c>
      <c r="P746">
        <v>0.6</v>
      </c>
      <c r="Q746" s="2">
        <v>0.6</v>
      </c>
      <c r="S746" s="5">
        <v>6.0000000000000001E-3</v>
      </c>
    </row>
    <row r="747" spans="1:19" x14ac:dyDescent="0.3">
      <c r="A747" t="s">
        <v>1554</v>
      </c>
      <c r="B747" t="s">
        <v>1555</v>
      </c>
      <c r="C747" t="s">
        <v>76</v>
      </c>
      <c r="D747" t="s">
        <v>80</v>
      </c>
      <c r="E747">
        <v>38</v>
      </c>
      <c r="F747" t="s">
        <v>91</v>
      </c>
      <c r="G747" t="s">
        <v>59</v>
      </c>
      <c r="H747" t="s">
        <v>47</v>
      </c>
      <c r="I747">
        <v>20</v>
      </c>
      <c r="J747" s="1">
        <v>50</v>
      </c>
      <c r="K747" t="s">
        <v>2071</v>
      </c>
      <c r="M747">
        <v>0</v>
      </c>
      <c r="P747">
        <v>0.64</v>
      </c>
      <c r="Q747" s="2">
        <v>0.64</v>
      </c>
      <c r="S747" s="5">
        <v>1.2800000000000001E-2</v>
      </c>
    </row>
    <row r="748" spans="1:19" x14ac:dyDescent="0.3">
      <c r="A748" t="s">
        <v>1556</v>
      </c>
      <c r="B748" t="s">
        <v>1557</v>
      </c>
      <c r="C748" t="s">
        <v>76</v>
      </c>
      <c r="D748" t="s">
        <v>80</v>
      </c>
      <c r="E748">
        <v>22</v>
      </c>
      <c r="F748" t="s">
        <v>158</v>
      </c>
      <c r="G748" t="s">
        <v>159</v>
      </c>
      <c r="H748" t="s">
        <v>18</v>
      </c>
      <c r="I748">
        <v>1</v>
      </c>
      <c r="J748" s="1">
        <v>100</v>
      </c>
      <c r="K748" t="s">
        <v>2070</v>
      </c>
      <c r="M748">
        <v>4.8</v>
      </c>
      <c r="N748" t="s">
        <v>96</v>
      </c>
      <c r="O748" t="s">
        <v>2076</v>
      </c>
      <c r="P748">
        <v>0.75</v>
      </c>
      <c r="Q748" s="2">
        <v>0.75</v>
      </c>
      <c r="S748" s="5">
        <v>7.4999999999999997E-3</v>
      </c>
    </row>
    <row r="749" spans="1:19" x14ac:dyDescent="0.3">
      <c r="A749" t="s">
        <v>1558</v>
      </c>
      <c r="B749" t="s">
        <v>1559</v>
      </c>
      <c r="C749" t="s">
        <v>111</v>
      </c>
      <c r="D749" t="s">
        <v>80</v>
      </c>
      <c r="E749">
        <v>28</v>
      </c>
      <c r="F749" t="s">
        <v>58</v>
      </c>
      <c r="G749" t="s">
        <v>59</v>
      </c>
      <c r="H749" t="s">
        <v>66</v>
      </c>
      <c r="I749">
        <v>3</v>
      </c>
      <c r="J749" s="1">
        <v>20</v>
      </c>
      <c r="K749" t="s">
        <v>2068</v>
      </c>
      <c r="L749" t="s">
        <v>2072</v>
      </c>
      <c r="N749">
        <v>1</v>
      </c>
      <c r="O749" t="s">
        <v>2076</v>
      </c>
      <c r="P749">
        <v>0.79</v>
      </c>
      <c r="Q749" s="2">
        <v>0.79</v>
      </c>
      <c r="S749" s="5">
        <v>3.95E-2</v>
      </c>
    </row>
    <row r="750" spans="1:19" x14ac:dyDescent="0.3">
      <c r="A750" t="s">
        <v>1560</v>
      </c>
      <c r="B750" t="s">
        <v>1561</v>
      </c>
      <c r="C750" t="s">
        <v>76</v>
      </c>
      <c r="D750" t="s">
        <v>80</v>
      </c>
      <c r="E750">
        <v>43</v>
      </c>
      <c r="F750" t="s">
        <v>50</v>
      </c>
      <c r="G750" t="s">
        <v>51</v>
      </c>
      <c r="H750" t="s">
        <v>33</v>
      </c>
      <c r="I750">
        <v>7</v>
      </c>
      <c r="J750" s="1">
        <v>50</v>
      </c>
      <c r="K750" t="s">
        <v>2068</v>
      </c>
      <c r="L750" t="s">
        <v>2071</v>
      </c>
      <c r="N750">
        <v>1</v>
      </c>
      <c r="O750" t="s">
        <v>2076</v>
      </c>
      <c r="P750">
        <v>0.8</v>
      </c>
      <c r="Q750" s="2">
        <v>0.8</v>
      </c>
      <c r="S750" s="5">
        <v>1.6E-2</v>
      </c>
    </row>
    <row r="751" spans="1:19" x14ac:dyDescent="0.3">
      <c r="A751" t="s">
        <v>1562</v>
      </c>
      <c r="B751" t="s">
        <v>1563</v>
      </c>
      <c r="C751" t="s">
        <v>76</v>
      </c>
      <c r="D751" t="s">
        <v>80</v>
      </c>
      <c r="E751">
        <v>37</v>
      </c>
      <c r="F751" t="s">
        <v>101</v>
      </c>
      <c r="G751" t="s">
        <v>59</v>
      </c>
      <c r="H751" t="s">
        <v>52</v>
      </c>
      <c r="I751">
        <v>10</v>
      </c>
      <c r="J751" s="1">
        <v>30</v>
      </c>
      <c r="K751" t="s">
        <v>2069</v>
      </c>
      <c r="M751">
        <v>0</v>
      </c>
      <c r="N751">
        <v>0</v>
      </c>
      <c r="O751" t="s">
        <v>2077</v>
      </c>
      <c r="P751">
        <v>0.96</v>
      </c>
      <c r="Q751" s="2">
        <v>0.96</v>
      </c>
      <c r="S751" s="5">
        <v>3.2000000000000001E-2</v>
      </c>
    </row>
    <row r="752" spans="1:19" x14ac:dyDescent="0.3">
      <c r="A752" t="s">
        <v>1564</v>
      </c>
      <c r="B752" t="s">
        <v>1565</v>
      </c>
      <c r="C752" t="s">
        <v>15</v>
      </c>
      <c r="D752" t="s">
        <v>20</v>
      </c>
      <c r="E752">
        <v>42</v>
      </c>
      <c r="F752" t="s">
        <v>50</v>
      </c>
      <c r="G752" t="s">
        <v>51</v>
      </c>
      <c r="H752" t="s">
        <v>66</v>
      </c>
      <c r="I752">
        <v>2</v>
      </c>
      <c r="J752" s="1">
        <v>50</v>
      </c>
      <c r="K752" t="s">
        <v>2065</v>
      </c>
      <c r="L752" t="s">
        <v>2071</v>
      </c>
      <c r="M752">
        <v>1.9</v>
      </c>
      <c r="N752" t="b">
        <v>0</v>
      </c>
      <c r="O752" t="s">
        <v>2077</v>
      </c>
      <c r="P752">
        <v>0.95</v>
      </c>
      <c r="Q752" s="2">
        <v>0.95</v>
      </c>
      <c r="S752" s="5">
        <v>1.9E-2</v>
      </c>
    </row>
    <row r="753" spans="1:19" x14ac:dyDescent="0.3">
      <c r="A753" t="s">
        <v>1566</v>
      </c>
      <c r="B753" t="s">
        <v>1567</v>
      </c>
      <c r="C753" t="s">
        <v>15</v>
      </c>
      <c r="D753" t="s">
        <v>20</v>
      </c>
      <c r="E753">
        <v>35</v>
      </c>
      <c r="F753" t="s">
        <v>16</v>
      </c>
      <c r="G753" t="s">
        <v>17</v>
      </c>
      <c r="H753" t="s">
        <v>79</v>
      </c>
      <c r="I753">
        <v>6</v>
      </c>
      <c r="J753" s="1">
        <v>40</v>
      </c>
      <c r="K753" t="s">
        <v>2067</v>
      </c>
      <c r="N753" t="s">
        <v>19</v>
      </c>
      <c r="O753" t="s">
        <v>2076</v>
      </c>
      <c r="P753">
        <v>0.91</v>
      </c>
      <c r="Q753" s="2">
        <v>0.91</v>
      </c>
      <c r="S753" s="5">
        <v>2.2749999999999999E-2</v>
      </c>
    </row>
    <row r="754" spans="1:19" x14ac:dyDescent="0.3">
      <c r="A754" t="s">
        <v>1568</v>
      </c>
      <c r="B754" t="s">
        <v>1569</v>
      </c>
      <c r="C754" t="s">
        <v>15</v>
      </c>
      <c r="D754" t="s">
        <v>20</v>
      </c>
      <c r="E754">
        <v>21</v>
      </c>
      <c r="F754" t="s">
        <v>27</v>
      </c>
      <c r="G754" t="s">
        <v>28</v>
      </c>
      <c r="H754" t="s">
        <v>63</v>
      </c>
      <c r="I754">
        <v>3</v>
      </c>
      <c r="J754" s="1">
        <v>50</v>
      </c>
      <c r="K754" t="s">
        <v>2071</v>
      </c>
      <c r="M754">
        <v>4.5999999999999996</v>
      </c>
      <c r="N754" t="s">
        <v>96</v>
      </c>
      <c r="O754" t="s">
        <v>2076</v>
      </c>
    </row>
    <row r="755" spans="1:19" x14ac:dyDescent="0.3">
      <c r="A755" t="s">
        <v>1570</v>
      </c>
      <c r="B755" t="s">
        <v>1571</v>
      </c>
      <c r="C755" t="s">
        <v>15</v>
      </c>
      <c r="D755" t="s">
        <v>20</v>
      </c>
      <c r="E755">
        <v>27</v>
      </c>
      <c r="F755" t="s">
        <v>101</v>
      </c>
      <c r="G755" t="s">
        <v>59</v>
      </c>
      <c r="H755" t="s">
        <v>39</v>
      </c>
      <c r="I755">
        <v>3</v>
      </c>
      <c r="J755" s="1">
        <v>50</v>
      </c>
      <c r="K755" t="s">
        <v>2068</v>
      </c>
      <c r="L755" t="s">
        <v>2071</v>
      </c>
      <c r="N755">
        <v>1</v>
      </c>
      <c r="O755" t="s">
        <v>2076</v>
      </c>
      <c r="P755">
        <v>0.96</v>
      </c>
      <c r="Q755" s="2">
        <v>0.96</v>
      </c>
      <c r="S755" s="5">
        <v>1.9199999999999998E-2</v>
      </c>
    </row>
    <row r="756" spans="1:19" x14ac:dyDescent="0.3">
      <c r="A756" t="s">
        <v>1572</v>
      </c>
      <c r="B756" t="s">
        <v>1573</v>
      </c>
      <c r="C756" t="s">
        <v>15</v>
      </c>
      <c r="D756" t="s">
        <v>20</v>
      </c>
      <c r="E756">
        <v>40</v>
      </c>
      <c r="F756" t="s">
        <v>101</v>
      </c>
      <c r="G756" t="s">
        <v>59</v>
      </c>
      <c r="H756" t="s">
        <v>60</v>
      </c>
      <c r="I756">
        <v>13</v>
      </c>
      <c r="J756" s="1">
        <v>50</v>
      </c>
      <c r="K756" t="s">
        <v>2068</v>
      </c>
      <c r="L756" t="s">
        <v>2071</v>
      </c>
      <c r="M756">
        <v>2.9</v>
      </c>
      <c r="N756" t="s">
        <v>67</v>
      </c>
      <c r="O756" t="s">
        <v>2077</v>
      </c>
      <c r="P756">
        <v>0.82</v>
      </c>
      <c r="Q756" s="2">
        <v>0.82</v>
      </c>
      <c r="S756" s="5">
        <v>1.6400000000000001E-2</v>
      </c>
    </row>
    <row r="757" spans="1:19" x14ac:dyDescent="0.3">
      <c r="A757" t="s">
        <v>1574</v>
      </c>
      <c r="B757" t="s">
        <v>1575</v>
      </c>
      <c r="C757" t="s">
        <v>15</v>
      </c>
      <c r="D757" t="s">
        <v>20</v>
      </c>
      <c r="E757">
        <v>59</v>
      </c>
      <c r="F757" t="s">
        <v>58</v>
      </c>
      <c r="G757" t="s">
        <v>59</v>
      </c>
      <c r="H757" t="s">
        <v>52</v>
      </c>
      <c r="I757">
        <v>22</v>
      </c>
      <c r="J757" s="1">
        <v>40</v>
      </c>
      <c r="K757" t="s">
        <v>2067</v>
      </c>
      <c r="M757">
        <v>1.1000000000000001</v>
      </c>
      <c r="N757" t="s">
        <v>19</v>
      </c>
      <c r="O757" t="s">
        <v>2076</v>
      </c>
      <c r="P757">
        <v>0.61</v>
      </c>
      <c r="Q757" s="2">
        <v>0.61</v>
      </c>
      <c r="S757" s="5">
        <v>1.525E-2</v>
      </c>
    </row>
    <row r="758" spans="1:19" x14ac:dyDescent="0.3">
      <c r="A758" t="s">
        <v>1576</v>
      </c>
      <c r="B758" t="s">
        <v>1577</v>
      </c>
      <c r="C758" t="s">
        <v>15</v>
      </c>
      <c r="D758" t="s">
        <v>20</v>
      </c>
      <c r="E758">
        <v>40</v>
      </c>
      <c r="F758" t="s">
        <v>139</v>
      </c>
      <c r="G758" t="s">
        <v>59</v>
      </c>
      <c r="H758" t="s">
        <v>39</v>
      </c>
      <c r="I758">
        <v>9</v>
      </c>
      <c r="J758" s="1">
        <v>100</v>
      </c>
      <c r="K758" t="s">
        <v>2065</v>
      </c>
      <c r="L758" t="s">
        <v>2070</v>
      </c>
      <c r="M758">
        <v>4.5</v>
      </c>
      <c r="N758" t="s">
        <v>19</v>
      </c>
      <c r="O758" t="s">
        <v>2076</v>
      </c>
      <c r="P758">
        <v>0.69</v>
      </c>
      <c r="Q758" s="2">
        <v>0.69</v>
      </c>
      <c r="S758" s="5">
        <v>6.8999999999999999E-3</v>
      </c>
    </row>
    <row r="759" spans="1:19" x14ac:dyDescent="0.3">
      <c r="A759" t="s">
        <v>1578</v>
      </c>
      <c r="B759" t="s">
        <v>1579</v>
      </c>
      <c r="C759" t="s">
        <v>15</v>
      </c>
      <c r="D759" t="s">
        <v>20</v>
      </c>
      <c r="E759">
        <v>46</v>
      </c>
      <c r="F759" t="s">
        <v>83</v>
      </c>
      <c r="G759" t="s">
        <v>84</v>
      </c>
      <c r="H759" t="s">
        <v>66</v>
      </c>
      <c r="I759">
        <v>23</v>
      </c>
      <c r="J759" s="1">
        <v>20</v>
      </c>
      <c r="K759" t="s">
        <v>2072</v>
      </c>
      <c r="M759">
        <v>2.9</v>
      </c>
      <c r="N759" t="s">
        <v>53</v>
      </c>
      <c r="O759" t="s">
        <v>2077</v>
      </c>
      <c r="P759">
        <v>0.72</v>
      </c>
      <c r="Q759" s="2">
        <v>0.72</v>
      </c>
      <c r="S759" s="5">
        <v>3.5999999999999997E-2</v>
      </c>
    </row>
    <row r="760" spans="1:19" x14ac:dyDescent="0.3">
      <c r="A760" t="s">
        <v>1580</v>
      </c>
      <c r="B760" t="s">
        <v>1581</v>
      </c>
      <c r="C760" t="s">
        <v>36</v>
      </c>
      <c r="D760" t="s">
        <v>20</v>
      </c>
      <c r="E760">
        <v>32</v>
      </c>
      <c r="F760" t="s">
        <v>91</v>
      </c>
      <c r="G760" t="s">
        <v>59</v>
      </c>
      <c r="H760" t="s">
        <v>18</v>
      </c>
      <c r="I760">
        <v>12</v>
      </c>
      <c r="J760" s="1">
        <v>40</v>
      </c>
      <c r="K760" t="s">
        <v>2067</v>
      </c>
      <c r="M760">
        <v>0</v>
      </c>
      <c r="N760" t="s">
        <v>19</v>
      </c>
      <c r="O760" t="s">
        <v>2076</v>
      </c>
      <c r="P760">
        <v>0.63</v>
      </c>
      <c r="Q760" s="2">
        <v>0.63</v>
      </c>
      <c r="S760" s="5">
        <v>1.575E-2</v>
      </c>
    </row>
    <row r="761" spans="1:19" x14ac:dyDescent="0.3">
      <c r="A761" t="s">
        <v>1582</v>
      </c>
      <c r="B761" t="s">
        <v>1583</v>
      </c>
      <c r="C761" t="s">
        <v>15</v>
      </c>
      <c r="D761" t="s">
        <v>20</v>
      </c>
      <c r="E761">
        <v>21</v>
      </c>
      <c r="F761" t="s">
        <v>87</v>
      </c>
      <c r="G761" t="s">
        <v>88</v>
      </c>
      <c r="H761" t="s">
        <v>18</v>
      </c>
      <c r="I761">
        <v>1</v>
      </c>
      <c r="J761" s="1">
        <v>100</v>
      </c>
      <c r="K761" t="s">
        <v>2070</v>
      </c>
      <c r="M761">
        <v>0</v>
      </c>
      <c r="N761">
        <v>1</v>
      </c>
      <c r="O761" t="s">
        <v>2076</v>
      </c>
    </row>
    <row r="762" spans="1:19" x14ac:dyDescent="0.3">
      <c r="A762" t="s">
        <v>1584</v>
      </c>
      <c r="B762" t="s">
        <v>1585</v>
      </c>
      <c r="C762" t="s">
        <v>111</v>
      </c>
      <c r="D762" t="s">
        <v>80</v>
      </c>
      <c r="E762">
        <v>22</v>
      </c>
      <c r="F762" t="s">
        <v>83</v>
      </c>
      <c r="G762" t="s">
        <v>84</v>
      </c>
      <c r="H762" t="s">
        <v>18</v>
      </c>
      <c r="I762">
        <v>0</v>
      </c>
      <c r="J762" s="1">
        <v>30</v>
      </c>
      <c r="K762" t="s">
        <v>2068</v>
      </c>
      <c r="L762" t="s">
        <v>2069</v>
      </c>
      <c r="M762">
        <v>4.9000000000000004</v>
      </c>
      <c r="N762" t="b">
        <v>0</v>
      </c>
      <c r="O762" t="s">
        <v>2077</v>
      </c>
      <c r="P762">
        <v>0.73</v>
      </c>
      <c r="Q762" s="2">
        <v>0.73</v>
      </c>
      <c r="S762" s="5">
        <v>2.4333333333333301E-2</v>
      </c>
    </row>
    <row r="763" spans="1:19" x14ac:dyDescent="0.3">
      <c r="A763" t="s">
        <v>1586</v>
      </c>
      <c r="B763" t="s">
        <v>1587</v>
      </c>
      <c r="C763" t="s">
        <v>76</v>
      </c>
      <c r="D763" t="s">
        <v>80</v>
      </c>
      <c r="E763">
        <v>22</v>
      </c>
      <c r="F763" t="s">
        <v>83</v>
      </c>
      <c r="G763" t="s">
        <v>84</v>
      </c>
      <c r="H763" t="s">
        <v>47</v>
      </c>
      <c r="I763">
        <v>2</v>
      </c>
      <c r="J763" s="1">
        <v>30</v>
      </c>
      <c r="K763" t="s">
        <v>2069</v>
      </c>
      <c r="M763">
        <v>2</v>
      </c>
      <c r="N763" t="s">
        <v>67</v>
      </c>
      <c r="O763" t="s">
        <v>2077</v>
      </c>
      <c r="P763">
        <v>0.96</v>
      </c>
      <c r="Q763" s="2">
        <v>0.96</v>
      </c>
      <c r="S763" s="5">
        <v>3.2000000000000001E-2</v>
      </c>
    </row>
    <row r="764" spans="1:19" x14ac:dyDescent="0.3">
      <c r="A764" t="s">
        <v>1588</v>
      </c>
      <c r="B764" t="s">
        <v>1589</v>
      </c>
      <c r="C764" t="s">
        <v>76</v>
      </c>
      <c r="D764" t="s">
        <v>80</v>
      </c>
      <c r="E764">
        <v>24</v>
      </c>
      <c r="F764" t="s">
        <v>83</v>
      </c>
      <c r="G764" t="s">
        <v>84</v>
      </c>
      <c r="H764" t="s">
        <v>60</v>
      </c>
      <c r="I764">
        <v>5</v>
      </c>
      <c r="J764" s="1">
        <v>40</v>
      </c>
      <c r="K764" t="s">
        <v>2067</v>
      </c>
      <c r="M764">
        <v>3</v>
      </c>
      <c r="N764" t="s">
        <v>67</v>
      </c>
      <c r="O764" t="s">
        <v>2077</v>
      </c>
      <c r="P764">
        <v>0.86</v>
      </c>
      <c r="Q764" s="2">
        <v>0.86</v>
      </c>
      <c r="S764" s="5">
        <v>2.1499999999999998E-2</v>
      </c>
    </row>
    <row r="765" spans="1:19" x14ac:dyDescent="0.3">
      <c r="A765" t="s">
        <v>1590</v>
      </c>
      <c r="B765" t="s">
        <v>1591</v>
      </c>
      <c r="C765" t="s">
        <v>111</v>
      </c>
      <c r="D765" t="s">
        <v>80</v>
      </c>
      <c r="E765">
        <v>52</v>
      </c>
      <c r="F765" t="s">
        <v>254</v>
      </c>
      <c r="G765" t="s">
        <v>255</v>
      </c>
      <c r="H765" t="s">
        <v>18</v>
      </c>
      <c r="I765">
        <v>11</v>
      </c>
      <c r="J765" s="1">
        <v>100</v>
      </c>
      <c r="K765" t="s">
        <v>2070</v>
      </c>
      <c r="N765">
        <v>0</v>
      </c>
      <c r="O765" t="s">
        <v>2077</v>
      </c>
    </row>
    <row r="766" spans="1:19" x14ac:dyDescent="0.3">
      <c r="A766" t="s">
        <v>1592</v>
      </c>
      <c r="B766" t="s">
        <v>1593</v>
      </c>
      <c r="C766" t="s">
        <v>76</v>
      </c>
      <c r="D766" t="s">
        <v>80</v>
      </c>
      <c r="E766">
        <v>46</v>
      </c>
      <c r="F766" t="s">
        <v>87</v>
      </c>
      <c r="G766" t="s">
        <v>88</v>
      </c>
      <c r="H766" t="s">
        <v>33</v>
      </c>
      <c r="I766">
        <v>10</v>
      </c>
      <c r="J766" s="1">
        <v>20</v>
      </c>
      <c r="K766" t="s">
        <v>2065</v>
      </c>
      <c r="L766" t="s">
        <v>2072</v>
      </c>
      <c r="M766">
        <v>2.5</v>
      </c>
      <c r="N766" t="b">
        <v>1</v>
      </c>
      <c r="O766" t="s">
        <v>2076</v>
      </c>
      <c r="P766">
        <v>0.97</v>
      </c>
      <c r="Q766" s="2">
        <v>0.97</v>
      </c>
      <c r="S766" s="5">
        <v>4.8500000000000001E-2</v>
      </c>
    </row>
    <row r="767" spans="1:19" x14ac:dyDescent="0.3">
      <c r="A767" t="s">
        <v>1594</v>
      </c>
      <c r="B767" t="s">
        <v>1595</v>
      </c>
      <c r="C767" t="s">
        <v>76</v>
      </c>
      <c r="D767" t="s">
        <v>80</v>
      </c>
      <c r="E767">
        <v>39</v>
      </c>
      <c r="F767" t="s">
        <v>46</v>
      </c>
      <c r="G767" t="s">
        <v>17</v>
      </c>
      <c r="H767" t="s">
        <v>33</v>
      </c>
      <c r="I767">
        <v>11</v>
      </c>
      <c r="J767" s="1">
        <v>100</v>
      </c>
      <c r="K767" t="s">
        <v>2070</v>
      </c>
      <c r="M767">
        <v>3.5</v>
      </c>
      <c r="N767" t="s">
        <v>96</v>
      </c>
      <c r="O767" t="s">
        <v>2076</v>
      </c>
      <c r="P767">
        <v>0.82</v>
      </c>
      <c r="Q767" s="2">
        <v>0.82</v>
      </c>
      <c r="S767" s="5">
        <v>8.2000000000000007E-3</v>
      </c>
    </row>
    <row r="768" spans="1:19" x14ac:dyDescent="0.3">
      <c r="A768" t="s">
        <v>1596</v>
      </c>
      <c r="B768" t="s">
        <v>1597</v>
      </c>
      <c r="C768" t="s">
        <v>76</v>
      </c>
      <c r="D768" t="s">
        <v>80</v>
      </c>
      <c r="E768">
        <v>55</v>
      </c>
      <c r="F768" t="s">
        <v>104</v>
      </c>
      <c r="G768" t="s">
        <v>105</v>
      </c>
      <c r="H768" t="s">
        <v>52</v>
      </c>
      <c r="I768">
        <v>33</v>
      </c>
      <c r="J768" s="1">
        <v>40</v>
      </c>
      <c r="K768" t="s">
        <v>2067</v>
      </c>
      <c r="M768">
        <v>1.5</v>
      </c>
      <c r="N768" t="s">
        <v>96</v>
      </c>
      <c r="O768" t="s">
        <v>2076</v>
      </c>
      <c r="P768">
        <v>0.71</v>
      </c>
      <c r="Q768" s="2">
        <v>0.71</v>
      </c>
      <c r="S768" s="5">
        <v>1.7749999999999998E-2</v>
      </c>
    </row>
    <row r="769" spans="1:19" x14ac:dyDescent="0.3">
      <c r="A769" t="s">
        <v>1598</v>
      </c>
      <c r="B769" t="s">
        <v>1599</v>
      </c>
      <c r="C769" t="s">
        <v>76</v>
      </c>
      <c r="D769" t="s">
        <v>80</v>
      </c>
      <c r="E769">
        <v>43</v>
      </c>
      <c r="F769" t="s">
        <v>101</v>
      </c>
      <c r="G769" t="s">
        <v>59</v>
      </c>
      <c r="H769" t="s">
        <v>39</v>
      </c>
      <c r="I769">
        <v>13</v>
      </c>
      <c r="J769" s="1">
        <v>100</v>
      </c>
      <c r="K769" t="s">
        <v>2065</v>
      </c>
      <c r="L769" t="s">
        <v>2070</v>
      </c>
      <c r="M769">
        <v>1.4</v>
      </c>
      <c r="N769">
        <v>1</v>
      </c>
      <c r="O769" t="s">
        <v>2076</v>
      </c>
      <c r="P769">
        <v>0.97</v>
      </c>
      <c r="Q769" s="2">
        <v>0.97</v>
      </c>
      <c r="S769" s="5">
        <v>9.7000000000000003E-3</v>
      </c>
    </row>
    <row r="770" spans="1:19" x14ac:dyDescent="0.3">
      <c r="A770" t="s">
        <v>1600</v>
      </c>
      <c r="B770" t="s">
        <v>1601</v>
      </c>
      <c r="C770" t="s">
        <v>111</v>
      </c>
      <c r="D770" t="s">
        <v>80</v>
      </c>
      <c r="E770">
        <v>41</v>
      </c>
      <c r="F770" t="s">
        <v>37</v>
      </c>
      <c r="G770" t="s">
        <v>38</v>
      </c>
      <c r="H770" t="s">
        <v>18</v>
      </c>
      <c r="I770">
        <v>4</v>
      </c>
      <c r="J770" s="1">
        <v>40</v>
      </c>
      <c r="K770" t="s">
        <v>2067</v>
      </c>
      <c r="M770">
        <v>2.7</v>
      </c>
      <c r="N770">
        <v>1</v>
      </c>
      <c r="O770" t="s">
        <v>2076</v>
      </c>
      <c r="P770">
        <v>70</v>
      </c>
      <c r="Q770" s="2">
        <v>0.7</v>
      </c>
      <c r="R770">
        <v>0.7</v>
      </c>
      <c r="S770" s="5">
        <v>1.7500000000000002E-2</v>
      </c>
    </row>
    <row r="771" spans="1:19" x14ac:dyDescent="0.3">
      <c r="A771" t="s">
        <v>1602</v>
      </c>
      <c r="B771" t="s">
        <v>1603</v>
      </c>
      <c r="C771" t="s">
        <v>76</v>
      </c>
      <c r="D771" t="s">
        <v>80</v>
      </c>
      <c r="F771" t="s">
        <v>77</v>
      </c>
      <c r="G771" t="s">
        <v>78</v>
      </c>
      <c r="H771" t="s">
        <v>66</v>
      </c>
      <c r="I771">
        <v>12</v>
      </c>
      <c r="J771" s="1">
        <v>50</v>
      </c>
      <c r="K771" t="s">
        <v>2065</v>
      </c>
      <c r="L771" t="s">
        <v>2071</v>
      </c>
      <c r="M771">
        <v>4.0999999999999996</v>
      </c>
      <c r="N771" t="s">
        <v>96</v>
      </c>
      <c r="O771" t="s">
        <v>2076</v>
      </c>
      <c r="P771">
        <v>0.62</v>
      </c>
      <c r="Q771" s="2">
        <v>0.62</v>
      </c>
      <c r="S771" s="5">
        <v>1.24E-2</v>
      </c>
    </row>
    <row r="772" spans="1:19" x14ac:dyDescent="0.3">
      <c r="A772" t="s">
        <v>1604</v>
      </c>
      <c r="B772" t="s">
        <v>1605</v>
      </c>
      <c r="C772" t="s">
        <v>15</v>
      </c>
      <c r="D772" t="s">
        <v>20</v>
      </c>
      <c r="E772">
        <v>54</v>
      </c>
      <c r="F772" t="s">
        <v>23</v>
      </c>
      <c r="G772" t="s">
        <v>24</v>
      </c>
      <c r="H772" t="s">
        <v>47</v>
      </c>
      <c r="I772">
        <v>21</v>
      </c>
      <c r="J772" s="1">
        <v>100</v>
      </c>
      <c r="K772" t="s">
        <v>2065</v>
      </c>
      <c r="L772" t="s">
        <v>2070</v>
      </c>
      <c r="M772">
        <v>4.5999999999999996</v>
      </c>
      <c r="N772" t="b">
        <v>0</v>
      </c>
      <c r="O772" t="s">
        <v>2077</v>
      </c>
    </row>
    <row r="773" spans="1:19" x14ac:dyDescent="0.3">
      <c r="A773" t="s">
        <v>1606</v>
      </c>
      <c r="B773" t="s">
        <v>1607</v>
      </c>
      <c r="C773" t="s">
        <v>111</v>
      </c>
      <c r="D773" t="s">
        <v>80</v>
      </c>
      <c r="E773">
        <v>37</v>
      </c>
      <c r="F773" t="s">
        <v>91</v>
      </c>
      <c r="G773" t="s">
        <v>59</v>
      </c>
      <c r="H773" t="s">
        <v>79</v>
      </c>
      <c r="I773">
        <v>0</v>
      </c>
      <c r="J773" s="1">
        <v>50</v>
      </c>
      <c r="K773" t="s">
        <v>2068</v>
      </c>
      <c r="L773" t="s">
        <v>2071</v>
      </c>
      <c r="M773">
        <v>4.7</v>
      </c>
      <c r="N773">
        <v>0</v>
      </c>
      <c r="O773" t="s">
        <v>2077</v>
      </c>
      <c r="P773">
        <v>0.77</v>
      </c>
      <c r="Q773" s="2">
        <v>0.77</v>
      </c>
      <c r="S773" s="5">
        <v>1.54E-2</v>
      </c>
    </row>
    <row r="774" spans="1:19" x14ac:dyDescent="0.3">
      <c r="A774" t="s">
        <v>1608</v>
      </c>
      <c r="B774" t="s">
        <v>1609</v>
      </c>
      <c r="C774" t="s">
        <v>76</v>
      </c>
      <c r="D774" t="s">
        <v>80</v>
      </c>
      <c r="E774">
        <v>28</v>
      </c>
      <c r="F774" t="s">
        <v>91</v>
      </c>
      <c r="G774" t="s">
        <v>59</v>
      </c>
      <c r="H774" t="s">
        <v>18</v>
      </c>
      <c r="I774">
        <v>1</v>
      </c>
      <c r="J774" s="1">
        <v>75</v>
      </c>
      <c r="K774" t="s">
        <v>2066</v>
      </c>
      <c r="M774">
        <v>2.7</v>
      </c>
      <c r="N774" t="b">
        <v>1</v>
      </c>
      <c r="O774" t="s">
        <v>2076</v>
      </c>
      <c r="P774">
        <v>0.93</v>
      </c>
      <c r="Q774" s="2">
        <v>0.93</v>
      </c>
      <c r="S774" s="5">
        <v>1.24E-2</v>
      </c>
    </row>
    <row r="775" spans="1:19" x14ac:dyDescent="0.3">
      <c r="A775" t="s">
        <v>1610</v>
      </c>
      <c r="B775" t="s">
        <v>1611</v>
      </c>
      <c r="C775" t="s">
        <v>76</v>
      </c>
      <c r="D775" t="s">
        <v>80</v>
      </c>
      <c r="E775">
        <v>20</v>
      </c>
      <c r="F775" t="s">
        <v>16</v>
      </c>
      <c r="G775" t="s">
        <v>17</v>
      </c>
      <c r="H775" t="s">
        <v>79</v>
      </c>
      <c r="I775">
        <v>0</v>
      </c>
      <c r="J775" s="1">
        <v>40</v>
      </c>
      <c r="K775" t="s">
        <v>2067</v>
      </c>
      <c r="M775">
        <v>2.5</v>
      </c>
      <c r="N775">
        <v>0</v>
      </c>
      <c r="O775" t="s">
        <v>2077</v>
      </c>
      <c r="P775">
        <v>0.79</v>
      </c>
      <c r="Q775" s="2">
        <v>0.79</v>
      </c>
      <c r="S775" s="5">
        <v>1.975E-2</v>
      </c>
    </row>
    <row r="776" spans="1:19" x14ac:dyDescent="0.3">
      <c r="A776" t="s">
        <v>1612</v>
      </c>
      <c r="B776" t="s">
        <v>1613</v>
      </c>
      <c r="C776" t="s">
        <v>76</v>
      </c>
      <c r="D776" t="s">
        <v>80</v>
      </c>
      <c r="E776">
        <v>33</v>
      </c>
      <c r="F776" t="s">
        <v>27</v>
      </c>
      <c r="G776" t="s">
        <v>28</v>
      </c>
      <c r="H776" t="s">
        <v>52</v>
      </c>
      <c r="I776">
        <v>8</v>
      </c>
      <c r="J776" s="1">
        <v>30</v>
      </c>
      <c r="K776" t="s">
        <v>2068</v>
      </c>
      <c r="L776" t="s">
        <v>2069</v>
      </c>
      <c r="M776">
        <v>3.6</v>
      </c>
      <c r="N776">
        <v>1</v>
      </c>
      <c r="O776" t="s">
        <v>2076</v>
      </c>
    </row>
    <row r="777" spans="1:19" x14ac:dyDescent="0.3">
      <c r="A777" t="s">
        <v>1614</v>
      </c>
      <c r="B777" t="s">
        <v>1615</v>
      </c>
      <c r="C777" t="s">
        <v>111</v>
      </c>
      <c r="D777" t="s">
        <v>80</v>
      </c>
      <c r="E777">
        <v>50</v>
      </c>
      <c r="F777" t="s">
        <v>188</v>
      </c>
      <c r="G777" t="s">
        <v>189</v>
      </c>
      <c r="H777" t="s">
        <v>52</v>
      </c>
      <c r="I777">
        <v>8</v>
      </c>
      <c r="J777" s="1">
        <v>50</v>
      </c>
      <c r="K777" t="s">
        <v>2068</v>
      </c>
      <c r="L777" t="s">
        <v>2071</v>
      </c>
      <c r="M777">
        <v>3.7</v>
      </c>
      <c r="N777" t="s">
        <v>96</v>
      </c>
      <c r="O777" t="s">
        <v>2076</v>
      </c>
      <c r="P777">
        <v>0.82</v>
      </c>
      <c r="Q777" s="2">
        <v>0.82</v>
      </c>
      <c r="S777" s="5">
        <v>1.6400000000000001E-2</v>
      </c>
    </row>
    <row r="778" spans="1:19" x14ac:dyDescent="0.3">
      <c r="A778" t="s">
        <v>1616</v>
      </c>
      <c r="B778" t="s">
        <v>1617</v>
      </c>
      <c r="C778" t="s">
        <v>76</v>
      </c>
      <c r="D778" t="s">
        <v>80</v>
      </c>
      <c r="E778">
        <v>45</v>
      </c>
      <c r="F778" t="s">
        <v>83</v>
      </c>
      <c r="G778" t="s">
        <v>84</v>
      </c>
      <c r="H778" t="s">
        <v>79</v>
      </c>
      <c r="I778">
        <v>21</v>
      </c>
      <c r="J778" s="1">
        <v>30</v>
      </c>
      <c r="K778" t="s">
        <v>2068</v>
      </c>
      <c r="L778" t="s">
        <v>2069</v>
      </c>
      <c r="M778">
        <v>1.5</v>
      </c>
      <c r="N778">
        <v>1</v>
      </c>
      <c r="O778" t="s">
        <v>2076</v>
      </c>
      <c r="P778">
        <v>0.73</v>
      </c>
      <c r="Q778" s="2">
        <v>0.73</v>
      </c>
      <c r="S778" s="5">
        <v>2.4333333333333301E-2</v>
      </c>
    </row>
    <row r="779" spans="1:19" x14ac:dyDescent="0.3">
      <c r="A779" t="s">
        <v>1618</v>
      </c>
      <c r="B779" t="s">
        <v>1619</v>
      </c>
      <c r="C779" t="s">
        <v>76</v>
      </c>
      <c r="D779" t="s">
        <v>80</v>
      </c>
      <c r="F779" t="s">
        <v>46</v>
      </c>
      <c r="G779" t="s">
        <v>17</v>
      </c>
      <c r="H779" t="s">
        <v>39</v>
      </c>
      <c r="I779">
        <v>0</v>
      </c>
      <c r="J779" s="1">
        <v>40</v>
      </c>
      <c r="K779" t="s">
        <v>2067</v>
      </c>
      <c r="N779" t="s">
        <v>96</v>
      </c>
      <c r="O779" t="s">
        <v>2076</v>
      </c>
      <c r="P779">
        <v>0.74</v>
      </c>
      <c r="Q779" s="2">
        <v>0.74</v>
      </c>
      <c r="S779" s="5">
        <v>1.8499999999999999E-2</v>
      </c>
    </row>
    <row r="780" spans="1:19" x14ac:dyDescent="0.3">
      <c r="A780" t="s">
        <v>1620</v>
      </c>
      <c r="B780" t="s">
        <v>1621</v>
      </c>
      <c r="C780" t="s">
        <v>15</v>
      </c>
      <c r="D780" t="s">
        <v>20</v>
      </c>
      <c r="E780">
        <v>21</v>
      </c>
      <c r="F780" t="s">
        <v>42</v>
      </c>
      <c r="G780" t="s">
        <v>43</v>
      </c>
      <c r="H780" t="s">
        <v>79</v>
      </c>
      <c r="I780">
        <v>1</v>
      </c>
      <c r="J780" s="1">
        <v>75</v>
      </c>
      <c r="K780" t="s">
        <v>2066</v>
      </c>
      <c r="M780">
        <v>4.5999999999999996</v>
      </c>
      <c r="N780">
        <v>0</v>
      </c>
      <c r="O780" t="s">
        <v>2077</v>
      </c>
      <c r="P780">
        <v>0.92</v>
      </c>
      <c r="Q780" s="2">
        <v>0.92</v>
      </c>
      <c r="S780" s="5">
        <v>1.22666666666667E-2</v>
      </c>
    </row>
    <row r="781" spans="1:19" x14ac:dyDescent="0.3">
      <c r="A781" t="s">
        <v>1622</v>
      </c>
      <c r="B781" t="s">
        <v>1623</v>
      </c>
      <c r="C781" t="s">
        <v>36</v>
      </c>
      <c r="D781" t="s">
        <v>20</v>
      </c>
      <c r="E781">
        <v>29</v>
      </c>
      <c r="F781" t="s">
        <v>16</v>
      </c>
      <c r="G781" t="s">
        <v>17</v>
      </c>
      <c r="H781" t="s">
        <v>33</v>
      </c>
      <c r="I781">
        <v>11</v>
      </c>
      <c r="J781" s="1">
        <v>20</v>
      </c>
      <c r="K781" t="s">
        <v>2072</v>
      </c>
      <c r="M781">
        <v>2.7</v>
      </c>
      <c r="N781" t="s">
        <v>67</v>
      </c>
      <c r="O781" t="s">
        <v>2077</v>
      </c>
      <c r="P781">
        <v>0.93</v>
      </c>
      <c r="Q781" s="2">
        <v>0.93</v>
      </c>
      <c r="S781" s="5">
        <v>4.65E-2</v>
      </c>
    </row>
    <row r="782" spans="1:19" x14ac:dyDescent="0.3">
      <c r="A782" t="s">
        <v>1624</v>
      </c>
      <c r="B782" t="s">
        <v>1625</v>
      </c>
      <c r="C782" t="s">
        <v>15</v>
      </c>
      <c r="D782" t="s">
        <v>20</v>
      </c>
      <c r="E782">
        <v>48</v>
      </c>
      <c r="F782" t="s">
        <v>91</v>
      </c>
      <c r="G782" t="s">
        <v>59</v>
      </c>
      <c r="H782" t="s">
        <v>66</v>
      </c>
      <c r="I782">
        <v>21</v>
      </c>
      <c r="J782" s="1">
        <v>75</v>
      </c>
      <c r="K782" t="s">
        <v>2066</v>
      </c>
      <c r="M782">
        <v>2.7</v>
      </c>
      <c r="N782">
        <v>1</v>
      </c>
      <c r="O782" t="s">
        <v>2076</v>
      </c>
    </row>
    <row r="783" spans="1:19" x14ac:dyDescent="0.3">
      <c r="A783" t="s">
        <v>1626</v>
      </c>
      <c r="B783" t="s">
        <v>1627</v>
      </c>
      <c r="C783" t="s">
        <v>36</v>
      </c>
      <c r="D783" t="s">
        <v>20</v>
      </c>
      <c r="E783">
        <v>21</v>
      </c>
      <c r="F783" t="s">
        <v>104</v>
      </c>
      <c r="G783" t="s">
        <v>105</v>
      </c>
      <c r="H783" t="s">
        <v>66</v>
      </c>
      <c r="I783">
        <v>0</v>
      </c>
      <c r="J783" s="1">
        <v>40</v>
      </c>
      <c r="K783" t="s">
        <v>2065</v>
      </c>
      <c r="L783" t="s">
        <v>2067</v>
      </c>
      <c r="M783">
        <v>4.0999999999999996</v>
      </c>
      <c r="N783" t="s">
        <v>96</v>
      </c>
      <c r="O783" t="s">
        <v>2076</v>
      </c>
      <c r="P783">
        <v>0.97</v>
      </c>
      <c r="Q783" s="2">
        <v>0.97</v>
      </c>
      <c r="S783" s="5">
        <v>2.4250000000000001E-2</v>
      </c>
    </row>
    <row r="784" spans="1:19" x14ac:dyDescent="0.3">
      <c r="A784" t="s">
        <v>1628</v>
      </c>
      <c r="B784" t="s">
        <v>1629</v>
      </c>
      <c r="C784" t="s">
        <v>15</v>
      </c>
      <c r="D784" t="s">
        <v>20</v>
      </c>
      <c r="E784">
        <v>46</v>
      </c>
      <c r="F784" t="s">
        <v>188</v>
      </c>
      <c r="G784" t="s">
        <v>189</v>
      </c>
      <c r="H784" t="s">
        <v>63</v>
      </c>
      <c r="I784">
        <v>6</v>
      </c>
      <c r="J784" s="1">
        <v>30</v>
      </c>
      <c r="K784" t="s">
        <v>2069</v>
      </c>
      <c r="M784">
        <v>1.5</v>
      </c>
      <c r="N784" t="s">
        <v>53</v>
      </c>
      <c r="O784" t="s">
        <v>2077</v>
      </c>
    </row>
    <row r="785" spans="1:19" x14ac:dyDescent="0.3">
      <c r="A785" t="s">
        <v>1630</v>
      </c>
      <c r="B785" t="s">
        <v>1631</v>
      </c>
      <c r="C785" t="s">
        <v>15</v>
      </c>
      <c r="D785" t="s">
        <v>20</v>
      </c>
      <c r="E785">
        <v>53</v>
      </c>
      <c r="F785" t="s">
        <v>158</v>
      </c>
      <c r="G785" t="s">
        <v>159</v>
      </c>
      <c r="H785" t="s">
        <v>63</v>
      </c>
      <c r="I785">
        <v>21</v>
      </c>
      <c r="J785" s="1">
        <v>100</v>
      </c>
      <c r="K785" t="s">
        <v>2068</v>
      </c>
      <c r="L785" t="s">
        <v>2070</v>
      </c>
      <c r="N785" t="s">
        <v>96</v>
      </c>
      <c r="O785" t="s">
        <v>2076</v>
      </c>
      <c r="P785">
        <v>0.97</v>
      </c>
      <c r="Q785" s="2">
        <v>0.97</v>
      </c>
      <c r="S785" s="5">
        <v>9.7000000000000003E-3</v>
      </c>
    </row>
    <row r="786" spans="1:19" x14ac:dyDescent="0.3">
      <c r="A786" t="s">
        <v>1632</v>
      </c>
      <c r="B786" t="s">
        <v>1633</v>
      </c>
      <c r="C786" t="s">
        <v>36</v>
      </c>
      <c r="D786" t="s">
        <v>20</v>
      </c>
      <c r="E786">
        <v>40</v>
      </c>
      <c r="F786" t="s">
        <v>23</v>
      </c>
      <c r="G786" t="s">
        <v>24</v>
      </c>
      <c r="H786" t="s">
        <v>108</v>
      </c>
      <c r="I786">
        <v>13</v>
      </c>
      <c r="J786" s="1">
        <v>100</v>
      </c>
      <c r="K786" t="s">
        <v>2068</v>
      </c>
      <c r="L786" t="s">
        <v>2070</v>
      </c>
      <c r="M786">
        <v>1.1000000000000001</v>
      </c>
      <c r="N786">
        <v>1</v>
      </c>
      <c r="O786" t="s">
        <v>2076</v>
      </c>
    </row>
    <row r="787" spans="1:19" x14ac:dyDescent="0.3">
      <c r="A787" t="s">
        <v>1634</v>
      </c>
      <c r="B787" t="s">
        <v>1635</v>
      </c>
      <c r="C787" t="s">
        <v>76</v>
      </c>
      <c r="D787" t="s">
        <v>80</v>
      </c>
      <c r="E787">
        <v>28</v>
      </c>
      <c r="F787" t="s">
        <v>77</v>
      </c>
      <c r="G787" t="s">
        <v>78</v>
      </c>
      <c r="H787" t="s">
        <v>52</v>
      </c>
      <c r="I787">
        <v>9</v>
      </c>
      <c r="J787" s="1">
        <v>40</v>
      </c>
      <c r="K787" t="s">
        <v>2067</v>
      </c>
      <c r="N787">
        <v>1</v>
      </c>
      <c r="O787" t="s">
        <v>2076</v>
      </c>
      <c r="P787">
        <v>0.64</v>
      </c>
      <c r="Q787" s="2">
        <v>0.64</v>
      </c>
      <c r="S787" s="5">
        <v>1.6E-2</v>
      </c>
    </row>
    <row r="788" spans="1:19" x14ac:dyDescent="0.3">
      <c r="A788" t="s">
        <v>1636</v>
      </c>
      <c r="B788" t="s">
        <v>1637</v>
      </c>
      <c r="C788" t="s">
        <v>76</v>
      </c>
      <c r="D788" t="s">
        <v>80</v>
      </c>
      <c r="E788">
        <v>45</v>
      </c>
      <c r="F788" t="s">
        <v>31</v>
      </c>
      <c r="G788" t="s">
        <v>32</v>
      </c>
      <c r="H788" t="s">
        <v>18</v>
      </c>
      <c r="I788">
        <v>22</v>
      </c>
      <c r="J788" s="1">
        <v>100</v>
      </c>
      <c r="K788" t="s">
        <v>2065</v>
      </c>
      <c r="L788" t="s">
        <v>2070</v>
      </c>
      <c r="M788">
        <v>4</v>
      </c>
      <c r="N788" t="s">
        <v>96</v>
      </c>
      <c r="O788" t="s">
        <v>2076</v>
      </c>
      <c r="P788">
        <v>0.75</v>
      </c>
      <c r="Q788" s="2">
        <v>0.75</v>
      </c>
      <c r="S788" s="5">
        <v>7.4999999999999997E-3</v>
      </c>
    </row>
    <row r="789" spans="1:19" x14ac:dyDescent="0.3">
      <c r="A789" t="s">
        <v>1638</v>
      </c>
      <c r="B789" t="s">
        <v>1639</v>
      </c>
      <c r="C789" t="s">
        <v>36</v>
      </c>
      <c r="D789" t="s">
        <v>20</v>
      </c>
      <c r="E789">
        <v>46</v>
      </c>
      <c r="F789" t="s">
        <v>91</v>
      </c>
      <c r="G789" t="s">
        <v>59</v>
      </c>
      <c r="H789" t="s">
        <v>63</v>
      </c>
      <c r="I789">
        <v>5</v>
      </c>
      <c r="J789" s="1">
        <v>20</v>
      </c>
      <c r="K789" t="s">
        <v>2072</v>
      </c>
      <c r="M789">
        <v>2.2000000000000002</v>
      </c>
      <c r="N789" t="b">
        <v>0</v>
      </c>
      <c r="O789" t="s">
        <v>2077</v>
      </c>
      <c r="P789">
        <v>0.75</v>
      </c>
      <c r="Q789" s="2">
        <v>0.75</v>
      </c>
      <c r="S789" s="5">
        <v>3.7499999999999999E-2</v>
      </c>
    </row>
    <row r="790" spans="1:19" x14ac:dyDescent="0.3">
      <c r="A790" t="s">
        <v>1640</v>
      </c>
      <c r="B790" t="s">
        <v>1641</v>
      </c>
      <c r="C790" t="s">
        <v>15</v>
      </c>
      <c r="D790" t="s">
        <v>20</v>
      </c>
      <c r="E790">
        <v>50</v>
      </c>
      <c r="F790" t="s">
        <v>27</v>
      </c>
      <c r="G790" t="s">
        <v>28</v>
      </c>
      <c r="H790" t="s">
        <v>66</v>
      </c>
      <c r="I790">
        <v>32</v>
      </c>
      <c r="J790" s="1">
        <v>30</v>
      </c>
      <c r="K790" t="s">
        <v>2065</v>
      </c>
      <c r="L790" t="s">
        <v>2069</v>
      </c>
      <c r="N790">
        <v>0</v>
      </c>
      <c r="O790" t="s">
        <v>2077</v>
      </c>
      <c r="P790">
        <v>0.64</v>
      </c>
      <c r="Q790" s="2">
        <v>0.64</v>
      </c>
      <c r="S790" s="5">
        <v>2.1333333333333301E-2</v>
      </c>
    </row>
    <row r="791" spans="1:19" x14ac:dyDescent="0.3">
      <c r="A791" t="s">
        <v>1642</v>
      </c>
      <c r="B791" t="s">
        <v>1643</v>
      </c>
      <c r="C791" t="s">
        <v>15</v>
      </c>
      <c r="D791" t="s">
        <v>20</v>
      </c>
      <c r="E791">
        <v>38</v>
      </c>
      <c r="F791" t="s">
        <v>46</v>
      </c>
      <c r="G791" t="s">
        <v>17</v>
      </c>
      <c r="H791" t="s">
        <v>79</v>
      </c>
      <c r="I791">
        <v>20</v>
      </c>
      <c r="J791" s="1">
        <v>75</v>
      </c>
      <c r="K791" t="s">
        <v>2068</v>
      </c>
      <c r="L791" t="s">
        <v>2066</v>
      </c>
      <c r="M791">
        <v>2.9</v>
      </c>
      <c r="N791">
        <v>1</v>
      </c>
      <c r="O791" t="s">
        <v>2076</v>
      </c>
      <c r="P791">
        <v>0.93</v>
      </c>
      <c r="Q791" s="2">
        <v>0.93</v>
      </c>
      <c r="S791" s="5">
        <v>1.24E-2</v>
      </c>
    </row>
    <row r="792" spans="1:19" x14ac:dyDescent="0.3">
      <c r="A792" t="s">
        <v>1644</v>
      </c>
      <c r="B792" t="s">
        <v>1645</v>
      </c>
      <c r="C792" t="s">
        <v>76</v>
      </c>
      <c r="D792" t="s">
        <v>80</v>
      </c>
      <c r="F792" t="s">
        <v>58</v>
      </c>
      <c r="G792" t="s">
        <v>59</v>
      </c>
      <c r="H792" t="s">
        <v>63</v>
      </c>
      <c r="I792">
        <v>0</v>
      </c>
      <c r="J792" s="1">
        <v>20</v>
      </c>
      <c r="K792" t="s">
        <v>2068</v>
      </c>
      <c r="L792" t="s">
        <v>2072</v>
      </c>
      <c r="M792">
        <v>4.8</v>
      </c>
      <c r="N792">
        <v>0</v>
      </c>
      <c r="O792" t="s">
        <v>2077</v>
      </c>
      <c r="P792">
        <v>0.74</v>
      </c>
      <c r="Q792" s="2">
        <v>0.74</v>
      </c>
      <c r="S792" s="5">
        <v>3.6999999999999998E-2</v>
      </c>
    </row>
    <row r="793" spans="1:19" x14ac:dyDescent="0.3">
      <c r="A793" t="s">
        <v>1646</v>
      </c>
      <c r="B793" t="s">
        <v>1647</v>
      </c>
      <c r="C793" t="s">
        <v>76</v>
      </c>
      <c r="D793" t="s">
        <v>80</v>
      </c>
      <c r="E793">
        <v>52</v>
      </c>
      <c r="F793" t="s">
        <v>42</v>
      </c>
      <c r="G793" t="s">
        <v>43</v>
      </c>
      <c r="H793" t="s">
        <v>63</v>
      </c>
      <c r="I793">
        <v>30</v>
      </c>
      <c r="J793" s="1">
        <v>75</v>
      </c>
      <c r="K793" t="s">
        <v>2066</v>
      </c>
      <c r="N793" t="s">
        <v>67</v>
      </c>
      <c r="O793" t="s">
        <v>2077</v>
      </c>
      <c r="P793">
        <v>0.94</v>
      </c>
      <c r="Q793" s="2">
        <v>0.94</v>
      </c>
      <c r="S793" s="5">
        <v>1.2533333333333301E-2</v>
      </c>
    </row>
    <row r="794" spans="1:19" x14ac:dyDescent="0.3">
      <c r="A794" t="s">
        <v>1648</v>
      </c>
      <c r="B794" t="s">
        <v>1649</v>
      </c>
      <c r="C794" t="s">
        <v>76</v>
      </c>
      <c r="D794" t="s">
        <v>80</v>
      </c>
      <c r="E794">
        <v>56</v>
      </c>
      <c r="F794" t="s">
        <v>254</v>
      </c>
      <c r="G794" t="s">
        <v>255</v>
      </c>
      <c r="H794" t="s">
        <v>52</v>
      </c>
      <c r="I794">
        <v>37</v>
      </c>
      <c r="J794" s="1">
        <v>40</v>
      </c>
      <c r="K794" t="s">
        <v>2067</v>
      </c>
      <c r="M794">
        <v>0</v>
      </c>
      <c r="N794" t="s">
        <v>53</v>
      </c>
      <c r="O794" t="s">
        <v>2077</v>
      </c>
      <c r="P794">
        <v>0.7</v>
      </c>
      <c r="Q794" s="2">
        <v>0.7</v>
      </c>
      <c r="S794" s="5">
        <v>1.7500000000000002E-2</v>
      </c>
    </row>
    <row r="795" spans="1:19" x14ac:dyDescent="0.3">
      <c r="A795" t="s">
        <v>1650</v>
      </c>
      <c r="B795" t="s">
        <v>1651</v>
      </c>
      <c r="C795" t="s">
        <v>15</v>
      </c>
      <c r="D795" t="s">
        <v>20</v>
      </c>
      <c r="E795">
        <v>26</v>
      </c>
      <c r="F795" t="s">
        <v>104</v>
      </c>
      <c r="G795" t="s">
        <v>105</v>
      </c>
      <c r="H795" t="s">
        <v>108</v>
      </c>
      <c r="I795">
        <v>6</v>
      </c>
      <c r="J795" s="1">
        <v>40</v>
      </c>
      <c r="K795" t="s">
        <v>2065</v>
      </c>
      <c r="L795" t="s">
        <v>2067</v>
      </c>
      <c r="M795">
        <v>1.3</v>
      </c>
      <c r="N795">
        <v>0</v>
      </c>
      <c r="O795" t="s">
        <v>2077</v>
      </c>
    </row>
    <row r="796" spans="1:19" x14ac:dyDescent="0.3">
      <c r="A796" t="s">
        <v>1652</v>
      </c>
      <c r="B796" t="s">
        <v>1653</v>
      </c>
      <c r="C796" t="s">
        <v>15</v>
      </c>
      <c r="D796" t="s">
        <v>20</v>
      </c>
      <c r="E796">
        <v>29</v>
      </c>
      <c r="F796" t="s">
        <v>27</v>
      </c>
      <c r="G796" t="s">
        <v>28</v>
      </c>
      <c r="H796" t="s">
        <v>79</v>
      </c>
      <c r="I796">
        <v>2</v>
      </c>
      <c r="J796" s="1">
        <v>75</v>
      </c>
      <c r="K796" t="s">
        <v>2068</v>
      </c>
      <c r="L796" t="s">
        <v>2066</v>
      </c>
      <c r="M796">
        <v>2.2000000000000002</v>
      </c>
      <c r="N796" t="s">
        <v>96</v>
      </c>
      <c r="O796" t="s">
        <v>2076</v>
      </c>
      <c r="P796">
        <v>0.85</v>
      </c>
      <c r="Q796" s="2">
        <v>0.85</v>
      </c>
      <c r="S796" s="5">
        <v>1.1333333333333299E-2</v>
      </c>
    </row>
    <row r="797" spans="1:19" x14ac:dyDescent="0.3">
      <c r="A797" t="s">
        <v>1654</v>
      </c>
      <c r="B797" t="s">
        <v>1655</v>
      </c>
      <c r="C797" t="s">
        <v>36</v>
      </c>
      <c r="D797" t="s">
        <v>20</v>
      </c>
      <c r="E797">
        <v>43</v>
      </c>
      <c r="F797" t="s">
        <v>16</v>
      </c>
      <c r="G797" t="s">
        <v>17</v>
      </c>
      <c r="H797" t="s">
        <v>18</v>
      </c>
      <c r="I797">
        <v>4</v>
      </c>
      <c r="J797" s="1">
        <v>50</v>
      </c>
      <c r="K797" t="s">
        <v>2071</v>
      </c>
      <c r="M797">
        <v>0</v>
      </c>
      <c r="N797" t="b">
        <v>1</v>
      </c>
      <c r="O797" t="s">
        <v>2076</v>
      </c>
      <c r="P797">
        <v>1</v>
      </c>
      <c r="Q797" s="2">
        <v>1</v>
      </c>
      <c r="S797" s="5">
        <v>0.02</v>
      </c>
    </row>
    <row r="798" spans="1:19" x14ac:dyDescent="0.3">
      <c r="A798" t="s">
        <v>1656</v>
      </c>
      <c r="B798" t="s">
        <v>1657</v>
      </c>
      <c r="C798" t="s">
        <v>111</v>
      </c>
      <c r="D798" t="s">
        <v>80</v>
      </c>
      <c r="E798">
        <v>58</v>
      </c>
      <c r="F798" t="s">
        <v>91</v>
      </c>
      <c r="G798" t="s">
        <v>59</v>
      </c>
      <c r="H798" t="s">
        <v>60</v>
      </c>
      <c r="I798">
        <v>20</v>
      </c>
      <c r="J798" s="1">
        <v>75</v>
      </c>
      <c r="K798" t="s">
        <v>2066</v>
      </c>
      <c r="M798">
        <v>3.6</v>
      </c>
      <c r="N798" t="s">
        <v>19</v>
      </c>
      <c r="O798" t="s">
        <v>2076</v>
      </c>
      <c r="P798">
        <v>0.78</v>
      </c>
      <c r="Q798" s="2">
        <v>0.78</v>
      </c>
      <c r="S798" s="5">
        <v>1.04E-2</v>
      </c>
    </row>
    <row r="799" spans="1:19" x14ac:dyDescent="0.3">
      <c r="A799" t="s">
        <v>1658</v>
      </c>
      <c r="B799" t="s">
        <v>1659</v>
      </c>
      <c r="C799" t="s">
        <v>76</v>
      </c>
      <c r="D799" t="s">
        <v>80</v>
      </c>
      <c r="E799">
        <v>43</v>
      </c>
      <c r="F799" t="s">
        <v>254</v>
      </c>
      <c r="G799" t="s">
        <v>255</v>
      </c>
      <c r="H799" t="s">
        <v>33</v>
      </c>
      <c r="I799">
        <v>9</v>
      </c>
      <c r="J799" s="1">
        <v>20</v>
      </c>
      <c r="K799" t="s">
        <v>2065</v>
      </c>
      <c r="L799" t="s">
        <v>2072</v>
      </c>
      <c r="M799">
        <v>2.2000000000000002</v>
      </c>
      <c r="N799" t="s">
        <v>53</v>
      </c>
      <c r="O799" t="s">
        <v>2077</v>
      </c>
    </row>
    <row r="800" spans="1:19" x14ac:dyDescent="0.3">
      <c r="A800" t="s">
        <v>1660</v>
      </c>
      <c r="B800" t="s">
        <v>1661</v>
      </c>
      <c r="C800" t="s">
        <v>76</v>
      </c>
      <c r="D800" t="s">
        <v>80</v>
      </c>
      <c r="E800">
        <v>21</v>
      </c>
      <c r="F800" t="s">
        <v>46</v>
      </c>
      <c r="G800" t="s">
        <v>17</v>
      </c>
      <c r="H800" t="s">
        <v>39</v>
      </c>
      <c r="I800">
        <v>1</v>
      </c>
      <c r="J800" s="1">
        <v>20</v>
      </c>
      <c r="K800" t="s">
        <v>2068</v>
      </c>
      <c r="L800" t="s">
        <v>2072</v>
      </c>
      <c r="N800" t="b">
        <v>0</v>
      </c>
      <c r="O800" t="s">
        <v>2077</v>
      </c>
      <c r="P800">
        <v>0.99</v>
      </c>
      <c r="Q800" s="2">
        <v>0.99</v>
      </c>
      <c r="S800" s="5">
        <v>4.9500000000000002E-2</v>
      </c>
    </row>
    <row r="801" spans="1:19" x14ac:dyDescent="0.3">
      <c r="A801" t="s">
        <v>1662</v>
      </c>
      <c r="B801" t="s">
        <v>1663</v>
      </c>
      <c r="C801" t="s">
        <v>111</v>
      </c>
      <c r="D801" t="s">
        <v>80</v>
      </c>
      <c r="E801">
        <v>50</v>
      </c>
      <c r="F801" t="s">
        <v>50</v>
      </c>
      <c r="G801" t="s">
        <v>51</v>
      </c>
      <c r="H801" t="s">
        <v>108</v>
      </c>
      <c r="I801">
        <v>14</v>
      </c>
      <c r="M801">
        <v>3.5</v>
      </c>
      <c r="N801" t="s">
        <v>96</v>
      </c>
      <c r="O801" t="s">
        <v>2076</v>
      </c>
      <c r="P801">
        <v>0.83</v>
      </c>
      <c r="Q801" s="2">
        <v>0.83</v>
      </c>
    </row>
    <row r="802" spans="1:19" x14ac:dyDescent="0.3">
      <c r="A802" t="s">
        <v>1664</v>
      </c>
      <c r="B802" t="s">
        <v>1665</v>
      </c>
      <c r="C802" t="s">
        <v>111</v>
      </c>
      <c r="D802" t="s">
        <v>80</v>
      </c>
      <c r="E802">
        <v>24</v>
      </c>
      <c r="F802" t="s">
        <v>23</v>
      </c>
      <c r="G802" t="s">
        <v>24</v>
      </c>
      <c r="H802" t="s">
        <v>108</v>
      </c>
      <c r="I802">
        <v>3</v>
      </c>
      <c r="J802" s="1">
        <v>20</v>
      </c>
      <c r="K802" t="s">
        <v>2072</v>
      </c>
      <c r="M802">
        <v>0</v>
      </c>
      <c r="N802">
        <v>1</v>
      </c>
      <c r="O802" t="s">
        <v>2076</v>
      </c>
    </row>
    <row r="803" spans="1:19" x14ac:dyDescent="0.3">
      <c r="A803" t="s">
        <v>1666</v>
      </c>
      <c r="B803" t="s">
        <v>1667</v>
      </c>
      <c r="C803" t="s">
        <v>76</v>
      </c>
      <c r="D803" t="s">
        <v>80</v>
      </c>
      <c r="E803">
        <v>49</v>
      </c>
      <c r="F803" t="s">
        <v>158</v>
      </c>
      <c r="G803" t="s">
        <v>159</v>
      </c>
      <c r="H803" t="s">
        <v>66</v>
      </c>
      <c r="I803">
        <v>20</v>
      </c>
      <c r="J803" s="1">
        <v>50</v>
      </c>
      <c r="K803" t="s">
        <v>2071</v>
      </c>
      <c r="M803">
        <v>2.5</v>
      </c>
      <c r="N803">
        <v>0</v>
      </c>
      <c r="O803" t="s">
        <v>2077</v>
      </c>
      <c r="P803">
        <v>0.82</v>
      </c>
      <c r="Q803" s="2">
        <v>0.82</v>
      </c>
      <c r="S803" s="5">
        <v>1.6400000000000001E-2</v>
      </c>
    </row>
    <row r="804" spans="1:19" x14ac:dyDescent="0.3">
      <c r="A804" t="s">
        <v>1668</v>
      </c>
      <c r="B804" t="s">
        <v>1669</v>
      </c>
      <c r="C804" t="s">
        <v>36</v>
      </c>
      <c r="D804" t="s">
        <v>20</v>
      </c>
      <c r="E804">
        <v>54</v>
      </c>
      <c r="F804" t="s">
        <v>31</v>
      </c>
      <c r="G804" t="s">
        <v>32</v>
      </c>
      <c r="H804" t="s">
        <v>52</v>
      </c>
      <c r="I804">
        <v>17</v>
      </c>
      <c r="J804" s="1">
        <v>100</v>
      </c>
      <c r="K804" t="s">
        <v>2065</v>
      </c>
      <c r="L804" t="s">
        <v>2070</v>
      </c>
      <c r="M804">
        <v>0</v>
      </c>
      <c r="N804">
        <v>0</v>
      </c>
      <c r="O804" t="s">
        <v>2077</v>
      </c>
      <c r="P804">
        <v>0.71</v>
      </c>
      <c r="Q804" s="2">
        <v>0.71</v>
      </c>
      <c r="S804" s="5">
        <v>7.1000000000000004E-3</v>
      </c>
    </row>
    <row r="805" spans="1:19" x14ac:dyDescent="0.3">
      <c r="A805" t="s">
        <v>1670</v>
      </c>
      <c r="B805" t="s">
        <v>1671</v>
      </c>
      <c r="C805" t="s">
        <v>111</v>
      </c>
      <c r="D805" t="s">
        <v>80</v>
      </c>
      <c r="E805">
        <v>39</v>
      </c>
      <c r="F805" t="s">
        <v>155</v>
      </c>
      <c r="G805" t="s">
        <v>17</v>
      </c>
      <c r="H805" t="s">
        <v>18</v>
      </c>
      <c r="I805">
        <v>21</v>
      </c>
      <c r="J805" s="1">
        <v>30</v>
      </c>
      <c r="K805" t="s">
        <v>2069</v>
      </c>
      <c r="M805">
        <v>4.7</v>
      </c>
      <c r="N805" t="b">
        <v>0</v>
      </c>
      <c r="O805" t="s">
        <v>2077</v>
      </c>
      <c r="P805">
        <v>0.61</v>
      </c>
      <c r="Q805" s="2">
        <v>0.61</v>
      </c>
      <c r="S805" s="5">
        <v>2.0333333333333301E-2</v>
      </c>
    </row>
    <row r="806" spans="1:19" x14ac:dyDescent="0.3">
      <c r="A806" t="s">
        <v>1672</v>
      </c>
      <c r="B806" t="s">
        <v>1673</v>
      </c>
      <c r="C806" t="s">
        <v>76</v>
      </c>
      <c r="D806" t="s">
        <v>80</v>
      </c>
      <c r="E806">
        <v>48</v>
      </c>
      <c r="F806" t="s">
        <v>101</v>
      </c>
      <c r="G806" t="s">
        <v>59</v>
      </c>
      <c r="H806" t="s">
        <v>60</v>
      </c>
      <c r="I806">
        <v>5</v>
      </c>
      <c r="J806" s="1">
        <v>100</v>
      </c>
      <c r="K806" t="s">
        <v>2065</v>
      </c>
      <c r="L806" t="s">
        <v>2070</v>
      </c>
      <c r="M806">
        <v>1.8</v>
      </c>
      <c r="N806" t="b">
        <v>1</v>
      </c>
      <c r="O806" t="s">
        <v>2076</v>
      </c>
      <c r="P806">
        <v>0.97</v>
      </c>
      <c r="Q806" s="2">
        <v>0.97</v>
      </c>
      <c r="S806" s="5">
        <v>9.7000000000000003E-3</v>
      </c>
    </row>
    <row r="807" spans="1:19" x14ac:dyDescent="0.3">
      <c r="A807" t="s">
        <v>1674</v>
      </c>
      <c r="B807" t="s">
        <v>1675</v>
      </c>
      <c r="C807" t="s">
        <v>111</v>
      </c>
      <c r="D807" t="s">
        <v>80</v>
      </c>
      <c r="E807">
        <v>57</v>
      </c>
      <c r="F807" t="s">
        <v>101</v>
      </c>
      <c r="G807" t="s">
        <v>59</v>
      </c>
      <c r="H807" t="s">
        <v>108</v>
      </c>
      <c r="I807">
        <v>5</v>
      </c>
      <c r="J807" s="1">
        <v>100</v>
      </c>
      <c r="K807" t="s">
        <v>2068</v>
      </c>
      <c r="L807" t="s">
        <v>2070</v>
      </c>
      <c r="M807">
        <v>0</v>
      </c>
      <c r="N807">
        <v>1</v>
      </c>
      <c r="O807" t="s">
        <v>2076</v>
      </c>
      <c r="P807">
        <v>0.8</v>
      </c>
      <c r="Q807" s="2">
        <v>0.8</v>
      </c>
      <c r="S807" s="5">
        <v>8.0000000000000002E-3</v>
      </c>
    </row>
    <row r="808" spans="1:19" x14ac:dyDescent="0.3">
      <c r="A808" t="s">
        <v>1676</v>
      </c>
      <c r="B808" t="s">
        <v>1677</v>
      </c>
      <c r="C808" t="s">
        <v>15</v>
      </c>
      <c r="D808" t="s">
        <v>20</v>
      </c>
      <c r="E808">
        <v>58</v>
      </c>
      <c r="F808" t="s">
        <v>158</v>
      </c>
      <c r="G808" t="s">
        <v>159</v>
      </c>
      <c r="H808" t="s">
        <v>108</v>
      </c>
      <c r="I808">
        <v>11</v>
      </c>
      <c r="J808" s="1">
        <v>100</v>
      </c>
      <c r="K808" t="s">
        <v>2070</v>
      </c>
      <c r="M808">
        <v>4.3</v>
      </c>
      <c r="N808">
        <v>0</v>
      </c>
      <c r="O808" t="s">
        <v>2077</v>
      </c>
      <c r="P808">
        <v>0.66</v>
      </c>
      <c r="Q808" s="2">
        <v>0.66</v>
      </c>
      <c r="S808" s="5">
        <v>6.6E-3</v>
      </c>
    </row>
    <row r="809" spans="1:19" x14ac:dyDescent="0.3">
      <c r="A809" t="s">
        <v>1678</v>
      </c>
      <c r="B809" t="s">
        <v>1679</v>
      </c>
      <c r="C809" t="s">
        <v>15</v>
      </c>
      <c r="D809" t="s">
        <v>20</v>
      </c>
      <c r="F809" t="s">
        <v>58</v>
      </c>
      <c r="G809" t="s">
        <v>59</v>
      </c>
      <c r="H809" t="s">
        <v>39</v>
      </c>
      <c r="J809" s="1">
        <v>40</v>
      </c>
      <c r="K809" t="s">
        <v>2067</v>
      </c>
      <c r="M809">
        <v>1.9</v>
      </c>
      <c r="N809">
        <v>1</v>
      </c>
      <c r="O809" t="s">
        <v>2076</v>
      </c>
      <c r="P809">
        <v>0.94</v>
      </c>
      <c r="Q809" s="2">
        <v>0.94</v>
      </c>
      <c r="S809" s="5">
        <v>2.35E-2</v>
      </c>
    </row>
    <row r="810" spans="1:19" x14ac:dyDescent="0.3">
      <c r="A810" t="s">
        <v>1680</v>
      </c>
      <c r="B810" t="s">
        <v>1681</v>
      </c>
      <c r="C810" t="s">
        <v>36</v>
      </c>
      <c r="D810" t="s">
        <v>20</v>
      </c>
      <c r="E810">
        <v>52</v>
      </c>
      <c r="F810" t="s">
        <v>50</v>
      </c>
      <c r="G810" t="s">
        <v>51</v>
      </c>
      <c r="H810" t="s">
        <v>33</v>
      </c>
      <c r="I810">
        <v>30</v>
      </c>
      <c r="J810" s="1">
        <v>30</v>
      </c>
      <c r="K810" t="s">
        <v>2069</v>
      </c>
      <c r="M810">
        <v>2</v>
      </c>
      <c r="N810">
        <v>1</v>
      </c>
      <c r="O810" t="s">
        <v>2076</v>
      </c>
      <c r="P810">
        <v>0.68</v>
      </c>
      <c r="Q810" s="2">
        <v>0.68</v>
      </c>
      <c r="S810" s="5">
        <v>2.26666666666667E-2</v>
      </c>
    </row>
    <row r="811" spans="1:19" x14ac:dyDescent="0.3">
      <c r="A811" t="s">
        <v>1682</v>
      </c>
      <c r="B811" t="s">
        <v>1683</v>
      </c>
      <c r="C811" t="s">
        <v>15</v>
      </c>
      <c r="D811" t="s">
        <v>20</v>
      </c>
      <c r="E811">
        <v>44</v>
      </c>
      <c r="F811" t="s">
        <v>50</v>
      </c>
      <c r="G811" t="s">
        <v>51</v>
      </c>
      <c r="H811" t="s">
        <v>47</v>
      </c>
      <c r="I811">
        <v>18</v>
      </c>
      <c r="J811" s="1">
        <v>20</v>
      </c>
      <c r="K811" t="s">
        <v>2072</v>
      </c>
      <c r="M811">
        <v>4.7</v>
      </c>
      <c r="N811">
        <v>1</v>
      </c>
      <c r="O811" t="s">
        <v>2076</v>
      </c>
      <c r="P811">
        <v>0.88</v>
      </c>
      <c r="Q811" s="2">
        <v>0.88</v>
      </c>
      <c r="S811" s="5">
        <v>4.3999999999999997E-2</v>
      </c>
    </row>
    <row r="812" spans="1:19" x14ac:dyDescent="0.3">
      <c r="A812" t="s">
        <v>1684</v>
      </c>
      <c r="B812" t="s">
        <v>1685</v>
      </c>
      <c r="C812" t="s">
        <v>36</v>
      </c>
      <c r="D812" t="s">
        <v>20</v>
      </c>
      <c r="E812">
        <v>37</v>
      </c>
      <c r="F812" t="s">
        <v>91</v>
      </c>
      <c r="G812" t="s">
        <v>59</v>
      </c>
      <c r="H812" t="s">
        <v>63</v>
      </c>
      <c r="I812">
        <v>2</v>
      </c>
      <c r="J812" s="1">
        <v>30</v>
      </c>
      <c r="K812" t="s">
        <v>2065</v>
      </c>
      <c r="L812" t="s">
        <v>2069</v>
      </c>
      <c r="M812">
        <v>2.2999999999999998</v>
      </c>
      <c r="N812" t="s">
        <v>19</v>
      </c>
      <c r="O812" t="s">
        <v>2076</v>
      </c>
    </row>
    <row r="813" spans="1:19" x14ac:dyDescent="0.3">
      <c r="A813" t="s">
        <v>1686</v>
      </c>
      <c r="B813" t="s">
        <v>1687</v>
      </c>
      <c r="C813" t="s">
        <v>15</v>
      </c>
      <c r="D813" t="s">
        <v>20</v>
      </c>
      <c r="E813">
        <v>40</v>
      </c>
      <c r="F813" t="s">
        <v>91</v>
      </c>
      <c r="G813" t="s">
        <v>59</v>
      </c>
      <c r="H813" t="s">
        <v>33</v>
      </c>
      <c r="I813">
        <v>20</v>
      </c>
      <c r="J813" s="1">
        <v>20</v>
      </c>
      <c r="K813" t="s">
        <v>2072</v>
      </c>
      <c r="M813">
        <v>2.5</v>
      </c>
      <c r="N813">
        <v>0</v>
      </c>
      <c r="O813" t="s">
        <v>2077</v>
      </c>
      <c r="P813">
        <v>0.81</v>
      </c>
      <c r="Q813" s="2">
        <v>0.81</v>
      </c>
      <c r="S813" s="5">
        <v>4.0500000000000001E-2</v>
      </c>
    </row>
    <row r="814" spans="1:19" x14ac:dyDescent="0.3">
      <c r="A814" t="s">
        <v>1688</v>
      </c>
      <c r="B814" t="s">
        <v>1689</v>
      </c>
      <c r="C814" t="s">
        <v>15</v>
      </c>
      <c r="D814" t="s">
        <v>20</v>
      </c>
      <c r="E814">
        <v>51</v>
      </c>
      <c r="F814" t="s">
        <v>42</v>
      </c>
      <c r="G814" t="s">
        <v>43</v>
      </c>
      <c r="H814" t="s">
        <v>52</v>
      </c>
      <c r="I814">
        <v>5</v>
      </c>
      <c r="J814" s="1">
        <v>40</v>
      </c>
      <c r="K814" t="s">
        <v>2068</v>
      </c>
      <c r="L814" t="s">
        <v>2067</v>
      </c>
      <c r="M814">
        <v>1.7</v>
      </c>
      <c r="N814" t="s">
        <v>19</v>
      </c>
      <c r="O814" t="s">
        <v>2076</v>
      </c>
      <c r="P814">
        <v>0.61</v>
      </c>
      <c r="Q814" s="2">
        <v>0.61</v>
      </c>
      <c r="S814" s="5">
        <v>1.525E-2</v>
      </c>
    </row>
    <row r="815" spans="1:19" x14ac:dyDescent="0.3">
      <c r="A815" t="s">
        <v>1690</v>
      </c>
      <c r="B815" t="s">
        <v>1691</v>
      </c>
      <c r="C815" t="s">
        <v>36</v>
      </c>
      <c r="D815" t="s">
        <v>20</v>
      </c>
      <c r="E815">
        <v>36</v>
      </c>
      <c r="F815" t="s">
        <v>83</v>
      </c>
      <c r="G815" t="s">
        <v>84</v>
      </c>
      <c r="H815" t="s">
        <v>33</v>
      </c>
      <c r="I815">
        <v>13</v>
      </c>
      <c r="J815" s="1">
        <v>40</v>
      </c>
      <c r="K815" t="s">
        <v>2067</v>
      </c>
      <c r="N815" t="s">
        <v>53</v>
      </c>
      <c r="O815" t="s">
        <v>2077</v>
      </c>
      <c r="P815">
        <v>0.78</v>
      </c>
      <c r="Q815" s="2">
        <v>0.78</v>
      </c>
      <c r="S815" s="5">
        <v>1.95E-2</v>
      </c>
    </row>
    <row r="816" spans="1:19" x14ac:dyDescent="0.3">
      <c r="A816" t="s">
        <v>1692</v>
      </c>
      <c r="B816" t="s">
        <v>1693</v>
      </c>
      <c r="C816" t="s">
        <v>15</v>
      </c>
      <c r="D816" t="s">
        <v>20</v>
      </c>
      <c r="E816">
        <v>43</v>
      </c>
      <c r="F816" t="s">
        <v>254</v>
      </c>
      <c r="G816" t="s">
        <v>255</v>
      </c>
      <c r="H816" t="s">
        <v>18</v>
      </c>
      <c r="I816">
        <v>14</v>
      </c>
      <c r="J816" s="1">
        <v>40</v>
      </c>
      <c r="K816" t="s">
        <v>2068</v>
      </c>
      <c r="L816" t="s">
        <v>2067</v>
      </c>
      <c r="M816">
        <v>4.5999999999999996</v>
      </c>
      <c r="N816" t="b">
        <v>0</v>
      </c>
      <c r="O816" t="s">
        <v>2077</v>
      </c>
      <c r="P816">
        <v>0.94</v>
      </c>
      <c r="Q816" s="2">
        <v>0.94</v>
      </c>
      <c r="S816" s="5">
        <v>2.35E-2</v>
      </c>
    </row>
    <row r="817" spans="1:19" x14ac:dyDescent="0.3">
      <c r="A817" t="s">
        <v>1694</v>
      </c>
      <c r="B817" t="s">
        <v>1695</v>
      </c>
      <c r="C817" t="s">
        <v>36</v>
      </c>
      <c r="D817" t="s">
        <v>20</v>
      </c>
      <c r="E817">
        <v>21</v>
      </c>
      <c r="F817" t="s">
        <v>58</v>
      </c>
      <c r="G817" t="s">
        <v>59</v>
      </c>
      <c r="H817" t="s">
        <v>108</v>
      </c>
      <c r="I817">
        <v>0</v>
      </c>
      <c r="J817" s="1">
        <v>100</v>
      </c>
      <c r="K817" t="s">
        <v>2070</v>
      </c>
      <c r="N817">
        <v>0</v>
      </c>
      <c r="O817" t="s">
        <v>2077</v>
      </c>
      <c r="P817">
        <v>0.73</v>
      </c>
      <c r="Q817" s="2">
        <v>0.73</v>
      </c>
      <c r="S817" s="5">
        <v>7.3000000000000001E-3</v>
      </c>
    </row>
    <row r="818" spans="1:19" x14ac:dyDescent="0.3">
      <c r="A818" t="s">
        <v>1696</v>
      </c>
      <c r="B818" t="s">
        <v>1697</v>
      </c>
      <c r="C818" t="s">
        <v>15</v>
      </c>
      <c r="D818" t="s">
        <v>20</v>
      </c>
      <c r="E818">
        <v>59</v>
      </c>
      <c r="F818" t="s">
        <v>37</v>
      </c>
      <c r="G818" t="s">
        <v>38</v>
      </c>
      <c r="H818" t="s">
        <v>108</v>
      </c>
      <c r="I818">
        <v>13</v>
      </c>
      <c r="J818" s="1">
        <v>20</v>
      </c>
      <c r="K818" t="s">
        <v>2068</v>
      </c>
      <c r="L818" t="s">
        <v>2072</v>
      </c>
      <c r="M818">
        <v>4.8</v>
      </c>
    </row>
    <row r="819" spans="1:19" x14ac:dyDescent="0.3">
      <c r="A819" t="s">
        <v>1698</v>
      </c>
      <c r="B819" t="s">
        <v>1699</v>
      </c>
      <c r="C819" t="s">
        <v>36</v>
      </c>
      <c r="D819" t="s">
        <v>20</v>
      </c>
      <c r="E819">
        <v>39</v>
      </c>
      <c r="F819" t="s">
        <v>42</v>
      </c>
      <c r="G819" t="s">
        <v>43</v>
      </c>
      <c r="H819" t="s">
        <v>39</v>
      </c>
      <c r="I819">
        <v>14</v>
      </c>
      <c r="J819" s="1">
        <v>100</v>
      </c>
      <c r="K819" t="s">
        <v>2068</v>
      </c>
      <c r="L819" t="s">
        <v>2070</v>
      </c>
      <c r="M819">
        <v>0</v>
      </c>
      <c r="N819" t="s">
        <v>96</v>
      </c>
      <c r="O819" t="s">
        <v>2076</v>
      </c>
      <c r="P819">
        <v>0.92</v>
      </c>
      <c r="Q819" s="2">
        <v>0.92</v>
      </c>
      <c r="S819" s="5">
        <v>9.1999999999999998E-3</v>
      </c>
    </row>
    <row r="820" spans="1:19" x14ac:dyDescent="0.3">
      <c r="A820" t="s">
        <v>1700</v>
      </c>
      <c r="B820" t="s">
        <v>1699</v>
      </c>
      <c r="C820" t="s">
        <v>15</v>
      </c>
      <c r="D820" t="s">
        <v>20</v>
      </c>
      <c r="E820">
        <v>49</v>
      </c>
      <c r="F820" t="s">
        <v>188</v>
      </c>
      <c r="G820" t="s">
        <v>189</v>
      </c>
      <c r="H820" t="s">
        <v>33</v>
      </c>
      <c r="J820" s="1">
        <v>30</v>
      </c>
      <c r="K820" t="s">
        <v>2065</v>
      </c>
      <c r="L820" t="s">
        <v>2069</v>
      </c>
      <c r="N820" t="s">
        <v>19</v>
      </c>
      <c r="O820" t="s">
        <v>2076</v>
      </c>
      <c r="P820">
        <v>0.74</v>
      </c>
      <c r="Q820" s="2">
        <v>0.74</v>
      </c>
      <c r="S820" s="5">
        <v>2.4666666666666701E-2</v>
      </c>
    </row>
    <row r="821" spans="1:19" x14ac:dyDescent="0.3">
      <c r="A821" t="s">
        <v>1701</v>
      </c>
      <c r="B821" t="s">
        <v>1702</v>
      </c>
      <c r="C821" t="s">
        <v>15</v>
      </c>
      <c r="D821" t="s">
        <v>20</v>
      </c>
      <c r="E821">
        <v>27</v>
      </c>
      <c r="F821" t="s">
        <v>83</v>
      </c>
      <c r="G821" t="s">
        <v>84</v>
      </c>
      <c r="H821" t="s">
        <v>60</v>
      </c>
      <c r="I821">
        <v>2</v>
      </c>
      <c r="J821" s="1">
        <v>50</v>
      </c>
      <c r="K821" t="s">
        <v>2065</v>
      </c>
      <c r="L821" t="s">
        <v>2071</v>
      </c>
      <c r="N821">
        <v>0</v>
      </c>
      <c r="O821" t="s">
        <v>2077</v>
      </c>
      <c r="P821">
        <v>0.84</v>
      </c>
      <c r="Q821" s="2">
        <v>0.84</v>
      </c>
      <c r="S821" s="5">
        <v>1.6799999999999999E-2</v>
      </c>
    </row>
    <row r="822" spans="1:19" x14ac:dyDescent="0.3">
      <c r="A822" t="s">
        <v>1703</v>
      </c>
      <c r="B822" t="s">
        <v>1704</v>
      </c>
      <c r="C822" t="s">
        <v>15</v>
      </c>
      <c r="D822" t="s">
        <v>20</v>
      </c>
      <c r="E822">
        <v>40</v>
      </c>
      <c r="F822" t="s">
        <v>27</v>
      </c>
      <c r="G822" t="s">
        <v>28</v>
      </c>
      <c r="H822" t="s">
        <v>108</v>
      </c>
      <c r="I822">
        <v>2</v>
      </c>
      <c r="J822" s="1">
        <v>30</v>
      </c>
      <c r="K822" t="s">
        <v>2065</v>
      </c>
      <c r="L822" t="s">
        <v>2069</v>
      </c>
      <c r="M822">
        <v>1.3</v>
      </c>
      <c r="N822">
        <v>1</v>
      </c>
      <c r="O822" t="s">
        <v>2076</v>
      </c>
      <c r="P822">
        <v>0.77</v>
      </c>
      <c r="Q822" s="2">
        <v>0.77</v>
      </c>
      <c r="S822" s="5">
        <v>2.5666666666666699E-2</v>
      </c>
    </row>
    <row r="823" spans="1:19" x14ac:dyDescent="0.3">
      <c r="A823" t="s">
        <v>1705</v>
      </c>
      <c r="B823" t="s">
        <v>1706</v>
      </c>
      <c r="C823" t="s">
        <v>36</v>
      </c>
      <c r="D823" t="s">
        <v>20</v>
      </c>
      <c r="E823">
        <v>48</v>
      </c>
      <c r="F823" t="s">
        <v>188</v>
      </c>
      <c r="G823" t="s">
        <v>189</v>
      </c>
      <c r="H823" t="s">
        <v>39</v>
      </c>
      <c r="I823">
        <v>8</v>
      </c>
      <c r="J823" s="1">
        <v>50</v>
      </c>
      <c r="K823" t="s">
        <v>2071</v>
      </c>
      <c r="N823">
        <v>1</v>
      </c>
      <c r="O823" t="s">
        <v>2076</v>
      </c>
      <c r="P823">
        <v>0.73</v>
      </c>
      <c r="Q823" s="2">
        <v>0.73</v>
      </c>
      <c r="S823" s="5">
        <v>1.46E-2</v>
      </c>
    </row>
    <row r="824" spans="1:19" x14ac:dyDescent="0.3">
      <c r="A824" t="s">
        <v>1707</v>
      </c>
      <c r="B824" t="s">
        <v>1708</v>
      </c>
      <c r="C824" t="s">
        <v>36</v>
      </c>
      <c r="D824" t="s">
        <v>20</v>
      </c>
      <c r="E824">
        <v>46</v>
      </c>
      <c r="F824" t="s">
        <v>87</v>
      </c>
      <c r="G824" t="s">
        <v>88</v>
      </c>
      <c r="H824" t="s">
        <v>108</v>
      </c>
      <c r="I824">
        <v>9</v>
      </c>
      <c r="J824" s="1">
        <v>20</v>
      </c>
      <c r="K824" t="s">
        <v>2072</v>
      </c>
      <c r="M824">
        <v>1.4</v>
      </c>
      <c r="N824" t="b">
        <v>1</v>
      </c>
      <c r="O824" t="s">
        <v>2076</v>
      </c>
      <c r="P824">
        <v>0.76</v>
      </c>
      <c r="Q824" s="2">
        <v>0.76</v>
      </c>
      <c r="S824" s="5">
        <v>3.7999999999999999E-2</v>
      </c>
    </row>
    <row r="825" spans="1:19" x14ac:dyDescent="0.3">
      <c r="A825" t="s">
        <v>1709</v>
      </c>
      <c r="B825" t="s">
        <v>1710</v>
      </c>
      <c r="C825" t="s">
        <v>36</v>
      </c>
      <c r="D825" t="s">
        <v>20</v>
      </c>
      <c r="E825">
        <v>56</v>
      </c>
      <c r="F825" t="s">
        <v>87</v>
      </c>
      <c r="G825" t="s">
        <v>88</v>
      </c>
      <c r="H825" t="s">
        <v>66</v>
      </c>
      <c r="I825">
        <v>22</v>
      </c>
      <c r="J825" s="1">
        <v>30</v>
      </c>
      <c r="K825" t="s">
        <v>2068</v>
      </c>
      <c r="L825" t="s">
        <v>2069</v>
      </c>
      <c r="N825" t="s">
        <v>67</v>
      </c>
      <c r="O825" t="s">
        <v>2077</v>
      </c>
      <c r="P825">
        <v>0.95</v>
      </c>
      <c r="Q825" s="2">
        <v>0.95</v>
      </c>
      <c r="S825" s="5">
        <v>3.1666666666666697E-2</v>
      </c>
    </row>
    <row r="826" spans="1:19" x14ac:dyDescent="0.3">
      <c r="A826" t="s">
        <v>1711</v>
      </c>
      <c r="B826" t="s">
        <v>1712</v>
      </c>
      <c r="C826" t="s">
        <v>15</v>
      </c>
      <c r="D826" t="s">
        <v>20</v>
      </c>
      <c r="E826">
        <v>21</v>
      </c>
      <c r="F826" t="s">
        <v>58</v>
      </c>
      <c r="G826" t="s">
        <v>59</v>
      </c>
      <c r="H826" t="s">
        <v>52</v>
      </c>
      <c r="I826">
        <v>1</v>
      </c>
      <c r="J826" s="1">
        <v>30</v>
      </c>
      <c r="K826" t="s">
        <v>2068</v>
      </c>
      <c r="L826" t="s">
        <v>2069</v>
      </c>
      <c r="M826">
        <v>1</v>
      </c>
      <c r="N826" t="s">
        <v>53</v>
      </c>
      <c r="O826" t="s">
        <v>2077</v>
      </c>
      <c r="P826">
        <v>0.81</v>
      </c>
      <c r="Q826" s="2">
        <v>0.81</v>
      </c>
      <c r="S826" s="5">
        <v>2.7E-2</v>
      </c>
    </row>
    <row r="827" spans="1:19" x14ac:dyDescent="0.3">
      <c r="A827" t="s">
        <v>1713</v>
      </c>
      <c r="B827" t="s">
        <v>1714</v>
      </c>
      <c r="C827" t="s">
        <v>36</v>
      </c>
      <c r="D827" t="s">
        <v>20</v>
      </c>
      <c r="E827">
        <v>52</v>
      </c>
      <c r="F827" t="s">
        <v>118</v>
      </c>
      <c r="G827" t="s">
        <v>119</v>
      </c>
      <c r="H827" t="s">
        <v>79</v>
      </c>
      <c r="I827">
        <v>33</v>
      </c>
      <c r="M827">
        <v>0</v>
      </c>
      <c r="N827">
        <v>1</v>
      </c>
      <c r="O827" t="s">
        <v>2076</v>
      </c>
      <c r="P827">
        <v>0.6</v>
      </c>
      <c r="Q827" s="2">
        <v>0.6</v>
      </c>
    </row>
    <row r="828" spans="1:19" x14ac:dyDescent="0.3">
      <c r="A828" t="s">
        <v>1715</v>
      </c>
      <c r="B828" t="s">
        <v>1716</v>
      </c>
      <c r="C828" t="s">
        <v>76</v>
      </c>
      <c r="D828" t="s">
        <v>80</v>
      </c>
      <c r="E828">
        <v>31</v>
      </c>
      <c r="F828" t="s">
        <v>188</v>
      </c>
      <c r="G828" t="s">
        <v>189</v>
      </c>
      <c r="H828" t="s">
        <v>39</v>
      </c>
      <c r="J828" s="1">
        <v>75</v>
      </c>
      <c r="K828" t="s">
        <v>2068</v>
      </c>
      <c r="L828" t="s">
        <v>2066</v>
      </c>
      <c r="M828">
        <v>1.3</v>
      </c>
      <c r="N828">
        <v>1</v>
      </c>
      <c r="O828" t="s">
        <v>2076</v>
      </c>
      <c r="P828">
        <v>0.65</v>
      </c>
      <c r="Q828" s="2">
        <v>0.65</v>
      </c>
      <c r="S828" s="5">
        <v>8.6666666666666593E-3</v>
      </c>
    </row>
    <row r="829" spans="1:19" x14ac:dyDescent="0.3">
      <c r="A829" t="s">
        <v>1717</v>
      </c>
      <c r="B829" t="s">
        <v>1718</v>
      </c>
      <c r="C829" t="s">
        <v>111</v>
      </c>
      <c r="D829" t="s">
        <v>80</v>
      </c>
      <c r="E829">
        <v>38</v>
      </c>
      <c r="F829" t="s">
        <v>58</v>
      </c>
      <c r="G829" t="s">
        <v>59</v>
      </c>
      <c r="H829" t="s">
        <v>63</v>
      </c>
      <c r="I829">
        <v>10</v>
      </c>
      <c r="J829" s="1">
        <v>40</v>
      </c>
      <c r="K829" t="s">
        <v>2067</v>
      </c>
      <c r="N829" t="s">
        <v>53</v>
      </c>
      <c r="O829" t="s">
        <v>2077</v>
      </c>
      <c r="P829">
        <v>0.66</v>
      </c>
      <c r="Q829" s="2">
        <v>0.66</v>
      </c>
      <c r="S829" s="5">
        <v>1.6500000000000001E-2</v>
      </c>
    </row>
    <row r="830" spans="1:19" x14ac:dyDescent="0.3">
      <c r="A830" t="s">
        <v>1719</v>
      </c>
      <c r="B830" t="s">
        <v>1720</v>
      </c>
      <c r="C830" t="s">
        <v>76</v>
      </c>
      <c r="D830" t="s">
        <v>80</v>
      </c>
      <c r="E830">
        <v>22</v>
      </c>
      <c r="F830" t="s">
        <v>50</v>
      </c>
      <c r="G830" t="s">
        <v>51</v>
      </c>
      <c r="H830" t="s">
        <v>63</v>
      </c>
      <c r="I830">
        <v>3</v>
      </c>
      <c r="J830" s="1">
        <v>100</v>
      </c>
      <c r="K830" t="s">
        <v>2068</v>
      </c>
      <c r="L830" t="s">
        <v>2070</v>
      </c>
      <c r="M830">
        <v>3.6</v>
      </c>
      <c r="N830">
        <v>1</v>
      </c>
      <c r="O830" t="s">
        <v>2076</v>
      </c>
      <c r="P830">
        <v>0.78</v>
      </c>
      <c r="Q830" s="2">
        <v>0.78</v>
      </c>
      <c r="S830" s="5">
        <v>7.7999999999999996E-3</v>
      </c>
    </row>
    <row r="831" spans="1:19" x14ac:dyDescent="0.3">
      <c r="A831" t="s">
        <v>1721</v>
      </c>
      <c r="B831" t="s">
        <v>1722</v>
      </c>
      <c r="C831" t="s">
        <v>111</v>
      </c>
      <c r="D831" t="s">
        <v>80</v>
      </c>
      <c r="E831">
        <v>36</v>
      </c>
      <c r="F831" t="s">
        <v>104</v>
      </c>
      <c r="G831" t="s">
        <v>105</v>
      </c>
      <c r="H831" t="s">
        <v>108</v>
      </c>
      <c r="I831">
        <v>8</v>
      </c>
      <c r="J831" s="1">
        <v>40</v>
      </c>
      <c r="K831" t="s">
        <v>2068</v>
      </c>
      <c r="L831" t="s">
        <v>2067</v>
      </c>
      <c r="N831" t="s">
        <v>53</v>
      </c>
      <c r="O831" t="s">
        <v>2077</v>
      </c>
      <c r="P831">
        <v>0.8</v>
      </c>
      <c r="Q831" s="2">
        <v>0.8</v>
      </c>
      <c r="S831" s="5">
        <v>0.02</v>
      </c>
    </row>
    <row r="832" spans="1:19" x14ac:dyDescent="0.3">
      <c r="A832" t="s">
        <v>1723</v>
      </c>
      <c r="B832" t="s">
        <v>1724</v>
      </c>
      <c r="C832" t="s">
        <v>111</v>
      </c>
      <c r="D832" t="s">
        <v>80</v>
      </c>
      <c r="E832">
        <v>39</v>
      </c>
      <c r="F832" t="s">
        <v>31</v>
      </c>
      <c r="G832" t="s">
        <v>32</v>
      </c>
      <c r="H832" t="s">
        <v>63</v>
      </c>
      <c r="I832">
        <v>18</v>
      </c>
      <c r="J832" s="1">
        <v>50</v>
      </c>
      <c r="K832" t="s">
        <v>2071</v>
      </c>
      <c r="M832">
        <v>2.1</v>
      </c>
      <c r="N832">
        <v>0</v>
      </c>
      <c r="O832" t="s">
        <v>2077</v>
      </c>
      <c r="P832">
        <v>75</v>
      </c>
      <c r="Q832" s="2">
        <v>0.75</v>
      </c>
      <c r="R832">
        <v>0.75</v>
      </c>
      <c r="S832" s="5">
        <v>1.4999999999999999E-2</v>
      </c>
    </row>
    <row r="833" spans="1:19" x14ac:dyDescent="0.3">
      <c r="A833" t="s">
        <v>1725</v>
      </c>
      <c r="B833" t="s">
        <v>1726</v>
      </c>
      <c r="C833" t="s">
        <v>15</v>
      </c>
      <c r="D833" t="s">
        <v>20</v>
      </c>
      <c r="E833">
        <v>60</v>
      </c>
      <c r="F833" t="s">
        <v>46</v>
      </c>
      <c r="G833" t="s">
        <v>17</v>
      </c>
      <c r="H833" t="s">
        <v>79</v>
      </c>
      <c r="I833">
        <v>39</v>
      </c>
      <c r="J833" s="1">
        <v>75</v>
      </c>
      <c r="K833" t="s">
        <v>2068</v>
      </c>
      <c r="L833" t="s">
        <v>2066</v>
      </c>
      <c r="M833">
        <v>4</v>
      </c>
      <c r="P833">
        <v>0.7</v>
      </c>
      <c r="Q833" s="2">
        <v>0.7</v>
      </c>
      <c r="S833" s="5">
        <v>9.3333333333333306E-3</v>
      </c>
    </row>
    <row r="834" spans="1:19" x14ac:dyDescent="0.3">
      <c r="A834" t="s">
        <v>1727</v>
      </c>
      <c r="B834" t="s">
        <v>1728</v>
      </c>
      <c r="C834" t="s">
        <v>15</v>
      </c>
      <c r="D834" t="s">
        <v>20</v>
      </c>
      <c r="E834">
        <v>57</v>
      </c>
      <c r="F834" t="s">
        <v>50</v>
      </c>
      <c r="G834" t="s">
        <v>51</v>
      </c>
      <c r="H834" t="s">
        <v>108</v>
      </c>
      <c r="I834">
        <v>16</v>
      </c>
      <c r="J834" s="1">
        <v>100</v>
      </c>
      <c r="K834" t="s">
        <v>2070</v>
      </c>
      <c r="M834">
        <v>3.1</v>
      </c>
      <c r="N834" t="b">
        <v>0</v>
      </c>
      <c r="O834" t="s">
        <v>2077</v>
      </c>
    </row>
    <row r="835" spans="1:19" x14ac:dyDescent="0.3">
      <c r="A835" t="s">
        <v>1729</v>
      </c>
      <c r="B835" t="s">
        <v>1730</v>
      </c>
      <c r="C835" t="s">
        <v>15</v>
      </c>
      <c r="D835" t="s">
        <v>20</v>
      </c>
      <c r="E835">
        <v>33</v>
      </c>
      <c r="F835" t="s">
        <v>16</v>
      </c>
      <c r="G835" t="s">
        <v>17</v>
      </c>
      <c r="H835" t="s">
        <v>47</v>
      </c>
      <c r="I835">
        <v>13</v>
      </c>
      <c r="J835" s="1">
        <v>50</v>
      </c>
      <c r="K835" t="s">
        <v>2071</v>
      </c>
      <c r="M835">
        <v>2.2000000000000002</v>
      </c>
      <c r="N835" t="s">
        <v>53</v>
      </c>
      <c r="O835" t="s">
        <v>2077</v>
      </c>
      <c r="P835">
        <v>0.7</v>
      </c>
      <c r="Q835" s="2">
        <v>0.7</v>
      </c>
      <c r="S835" s="5">
        <v>1.4E-2</v>
      </c>
    </row>
    <row r="836" spans="1:19" x14ac:dyDescent="0.3">
      <c r="A836" t="s">
        <v>1731</v>
      </c>
      <c r="B836" t="s">
        <v>1732</v>
      </c>
      <c r="C836" t="s">
        <v>36</v>
      </c>
      <c r="D836" t="s">
        <v>20</v>
      </c>
      <c r="E836">
        <v>32</v>
      </c>
      <c r="F836" t="s">
        <v>23</v>
      </c>
      <c r="G836" t="s">
        <v>24</v>
      </c>
      <c r="H836" t="s">
        <v>18</v>
      </c>
      <c r="J836" s="1">
        <v>30</v>
      </c>
      <c r="K836" t="s">
        <v>2069</v>
      </c>
      <c r="M836">
        <v>1.5</v>
      </c>
      <c r="N836">
        <v>0</v>
      </c>
      <c r="O836" t="s">
        <v>2077</v>
      </c>
      <c r="P836">
        <v>0.68</v>
      </c>
      <c r="Q836" s="2">
        <v>0.68</v>
      </c>
      <c r="S836" s="5">
        <v>2.26666666666667E-2</v>
      </c>
    </row>
    <row r="837" spans="1:19" x14ac:dyDescent="0.3">
      <c r="A837" t="s">
        <v>1733</v>
      </c>
      <c r="B837" t="s">
        <v>1734</v>
      </c>
      <c r="C837" t="s">
        <v>36</v>
      </c>
      <c r="D837" t="s">
        <v>20</v>
      </c>
      <c r="E837">
        <v>50</v>
      </c>
      <c r="F837" t="s">
        <v>139</v>
      </c>
      <c r="G837" t="s">
        <v>59</v>
      </c>
      <c r="H837" t="s">
        <v>79</v>
      </c>
      <c r="I837">
        <v>23</v>
      </c>
      <c r="J837" s="1">
        <v>40</v>
      </c>
      <c r="K837" t="s">
        <v>2065</v>
      </c>
      <c r="L837" t="s">
        <v>2067</v>
      </c>
      <c r="M837">
        <v>3.6</v>
      </c>
      <c r="N837" t="b">
        <v>1</v>
      </c>
      <c r="O837" t="s">
        <v>2076</v>
      </c>
      <c r="P837">
        <v>0.71</v>
      </c>
      <c r="Q837" s="2">
        <v>0.71</v>
      </c>
      <c r="S837" s="5">
        <v>1.7749999999999998E-2</v>
      </c>
    </row>
    <row r="838" spans="1:19" x14ac:dyDescent="0.3">
      <c r="A838" t="s">
        <v>1735</v>
      </c>
      <c r="B838" t="s">
        <v>1736</v>
      </c>
      <c r="C838" t="s">
        <v>15</v>
      </c>
      <c r="D838" t="s">
        <v>20</v>
      </c>
      <c r="E838">
        <v>27</v>
      </c>
      <c r="F838" t="s">
        <v>91</v>
      </c>
      <c r="G838" t="s">
        <v>59</v>
      </c>
      <c r="H838" t="s">
        <v>60</v>
      </c>
      <c r="I838">
        <v>8</v>
      </c>
      <c r="J838" s="1">
        <v>20</v>
      </c>
      <c r="K838" t="s">
        <v>2072</v>
      </c>
      <c r="M838">
        <v>4.8</v>
      </c>
      <c r="N838" t="s">
        <v>53</v>
      </c>
      <c r="O838" t="s">
        <v>2077</v>
      </c>
      <c r="P838">
        <v>0.81</v>
      </c>
      <c r="Q838" s="2">
        <v>0.81</v>
      </c>
      <c r="S838" s="5">
        <v>4.0500000000000001E-2</v>
      </c>
    </row>
    <row r="839" spans="1:19" x14ac:dyDescent="0.3">
      <c r="A839" t="s">
        <v>1737</v>
      </c>
      <c r="B839" t="s">
        <v>1738</v>
      </c>
      <c r="C839" t="s">
        <v>15</v>
      </c>
      <c r="D839" t="s">
        <v>20</v>
      </c>
      <c r="E839">
        <v>33</v>
      </c>
      <c r="F839" t="s">
        <v>104</v>
      </c>
      <c r="G839" t="s">
        <v>105</v>
      </c>
      <c r="H839" t="s">
        <v>52</v>
      </c>
      <c r="I839">
        <v>5</v>
      </c>
      <c r="J839" s="1">
        <v>50</v>
      </c>
      <c r="K839" t="s">
        <v>2065</v>
      </c>
      <c r="L839" t="s">
        <v>2071</v>
      </c>
      <c r="M839">
        <v>4.7</v>
      </c>
      <c r="N839">
        <v>1</v>
      </c>
      <c r="O839" t="s">
        <v>2076</v>
      </c>
      <c r="P839">
        <v>0.88</v>
      </c>
      <c r="Q839" s="2">
        <v>0.88</v>
      </c>
      <c r="S839" s="5">
        <v>1.7600000000000001E-2</v>
      </c>
    </row>
    <row r="840" spans="1:19" x14ac:dyDescent="0.3">
      <c r="A840" t="s">
        <v>1739</v>
      </c>
      <c r="B840" t="s">
        <v>1740</v>
      </c>
      <c r="C840" t="s">
        <v>15</v>
      </c>
      <c r="D840" t="s">
        <v>20</v>
      </c>
      <c r="E840">
        <v>24</v>
      </c>
      <c r="F840" t="s">
        <v>83</v>
      </c>
      <c r="G840" t="s">
        <v>84</v>
      </c>
      <c r="H840" t="s">
        <v>39</v>
      </c>
      <c r="I840">
        <v>6</v>
      </c>
      <c r="J840" s="1">
        <v>50</v>
      </c>
      <c r="K840" t="s">
        <v>2071</v>
      </c>
      <c r="M840">
        <v>1.4</v>
      </c>
      <c r="N840" t="s">
        <v>96</v>
      </c>
      <c r="O840" t="s">
        <v>2076</v>
      </c>
      <c r="P840">
        <v>63</v>
      </c>
      <c r="Q840" s="2">
        <v>0.63</v>
      </c>
      <c r="R840">
        <v>0.63</v>
      </c>
      <c r="S840" s="5">
        <v>1.26E-2</v>
      </c>
    </row>
    <row r="841" spans="1:19" x14ac:dyDescent="0.3">
      <c r="A841" t="s">
        <v>1741</v>
      </c>
      <c r="B841" t="s">
        <v>1742</v>
      </c>
      <c r="C841" t="s">
        <v>36</v>
      </c>
      <c r="D841" t="s">
        <v>20</v>
      </c>
      <c r="E841">
        <v>34</v>
      </c>
      <c r="F841" t="s">
        <v>101</v>
      </c>
      <c r="G841" t="s">
        <v>59</v>
      </c>
      <c r="H841" t="s">
        <v>66</v>
      </c>
      <c r="I841">
        <v>1</v>
      </c>
      <c r="J841" s="1">
        <v>40</v>
      </c>
      <c r="K841" t="s">
        <v>2067</v>
      </c>
      <c r="M841">
        <v>1.7</v>
      </c>
      <c r="P841">
        <v>74</v>
      </c>
      <c r="Q841" s="2">
        <v>0.74</v>
      </c>
      <c r="R841">
        <v>0.74</v>
      </c>
      <c r="S841" s="5">
        <v>1.8499999999999999E-2</v>
      </c>
    </row>
    <row r="842" spans="1:19" x14ac:dyDescent="0.3">
      <c r="A842" t="s">
        <v>1743</v>
      </c>
      <c r="B842" t="s">
        <v>1744</v>
      </c>
      <c r="C842" t="s">
        <v>36</v>
      </c>
      <c r="D842" t="s">
        <v>20</v>
      </c>
      <c r="E842">
        <v>21</v>
      </c>
      <c r="F842" t="s">
        <v>87</v>
      </c>
      <c r="G842" t="s">
        <v>88</v>
      </c>
      <c r="H842" t="s">
        <v>108</v>
      </c>
      <c r="I842">
        <v>0</v>
      </c>
      <c r="J842" s="1">
        <v>20</v>
      </c>
      <c r="K842" t="s">
        <v>2072</v>
      </c>
      <c r="M842">
        <v>2.6</v>
      </c>
      <c r="N842" t="s">
        <v>67</v>
      </c>
      <c r="O842" t="s">
        <v>2077</v>
      </c>
      <c r="P842">
        <v>0.64</v>
      </c>
      <c r="Q842" s="2">
        <v>0.64</v>
      </c>
      <c r="S842" s="5">
        <v>3.2000000000000001E-2</v>
      </c>
    </row>
    <row r="843" spans="1:19" x14ac:dyDescent="0.3">
      <c r="A843" t="s">
        <v>1745</v>
      </c>
      <c r="B843" t="s">
        <v>1746</v>
      </c>
      <c r="C843" t="s">
        <v>36</v>
      </c>
      <c r="D843" t="s">
        <v>20</v>
      </c>
      <c r="E843">
        <v>27</v>
      </c>
      <c r="F843" t="s">
        <v>188</v>
      </c>
      <c r="G843" t="s">
        <v>189</v>
      </c>
      <c r="H843" t="s">
        <v>39</v>
      </c>
      <c r="I843">
        <v>2</v>
      </c>
      <c r="J843" s="1">
        <v>40</v>
      </c>
      <c r="K843" t="s">
        <v>2065</v>
      </c>
      <c r="L843" t="s">
        <v>2067</v>
      </c>
      <c r="M843">
        <v>1.2</v>
      </c>
      <c r="N843" t="b">
        <v>0</v>
      </c>
      <c r="O843" t="s">
        <v>2077</v>
      </c>
    </row>
    <row r="844" spans="1:19" x14ac:dyDescent="0.3">
      <c r="A844" t="s">
        <v>1747</v>
      </c>
      <c r="B844" t="s">
        <v>1748</v>
      </c>
      <c r="C844" t="s">
        <v>15</v>
      </c>
      <c r="D844" t="s">
        <v>20</v>
      </c>
      <c r="E844">
        <v>60</v>
      </c>
      <c r="F844" t="s">
        <v>139</v>
      </c>
      <c r="G844" t="s">
        <v>59</v>
      </c>
      <c r="H844" t="s">
        <v>108</v>
      </c>
      <c r="I844">
        <v>39</v>
      </c>
      <c r="J844" s="1">
        <v>100</v>
      </c>
      <c r="K844" t="s">
        <v>2068</v>
      </c>
      <c r="L844" t="s">
        <v>2070</v>
      </c>
      <c r="M844">
        <v>1.5</v>
      </c>
      <c r="P844">
        <v>88</v>
      </c>
      <c r="Q844" s="2">
        <v>0.88</v>
      </c>
      <c r="R844">
        <v>0.88</v>
      </c>
      <c r="S844" s="5">
        <v>8.8000000000000005E-3</v>
      </c>
    </row>
    <row r="845" spans="1:19" x14ac:dyDescent="0.3">
      <c r="A845" t="s">
        <v>1749</v>
      </c>
      <c r="B845" t="s">
        <v>1750</v>
      </c>
      <c r="C845" t="s">
        <v>15</v>
      </c>
      <c r="D845" t="s">
        <v>20</v>
      </c>
      <c r="E845">
        <v>52</v>
      </c>
      <c r="F845" t="s">
        <v>254</v>
      </c>
      <c r="G845" t="s">
        <v>255</v>
      </c>
      <c r="H845" t="s">
        <v>47</v>
      </c>
      <c r="I845">
        <v>30</v>
      </c>
      <c r="J845" s="1">
        <v>20</v>
      </c>
      <c r="K845" t="s">
        <v>2065</v>
      </c>
      <c r="L845" t="s">
        <v>2072</v>
      </c>
      <c r="M845">
        <v>2.8</v>
      </c>
      <c r="N845" t="s">
        <v>67</v>
      </c>
      <c r="O845" t="s">
        <v>2077</v>
      </c>
      <c r="P845">
        <v>0.87</v>
      </c>
      <c r="Q845" s="2">
        <v>0.87</v>
      </c>
      <c r="S845" s="5">
        <v>4.3499999999999997E-2</v>
      </c>
    </row>
    <row r="846" spans="1:19" x14ac:dyDescent="0.3">
      <c r="A846" t="s">
        <v>1751</v>
      </c>
      <c r="B846" t="s">
        <v>1752</v>
      </c>
      <c r="C846" t="s">
        <v>15</v>
      </c>
      <c r="D846" t="s">
        <v>20</v>
      </c>
      <c r="E846">
        <v>43</v>
      </c>
      <c r="F846" t="s">
        <v>37</v>
      </c>
      <c r="G846" t="s">
        <v>38</v>
      </c>
      <c r="H846" t="s">
        <v>79</v>
      </c>
      <c r="I846">
        <v>13</v>
      </c>
      <c r="J846" s="1">
        <v>20</v>
      </c>
      <c r="K846" t="s">
        <v>2068</v>
      </c>
      <c r="L846" t="s">
        <v>2072</v>
      </c>
      <c r="M846">
        <v>1.2</v>
      </c>
      <c r="N846" t="s">
        <v>96</v>
      </c>
      <c r="O846" t="s">
        <v>2076</v>
      </c>
      <c r="P846">
        <v>69</v>
      </c>
      <c r="Q846" s="2">
        <v>0.69</v>
      </c>
      <c r="R846">
        <v>0.69</v>
      </c>
      <c r="S846" s="5">
        <v>3.4500000000000003E-2</v>
      </c>
    </row>
    <row r="847" spans="1:19" x14ac:dyDescent="0.3">
      <c r="A847" t="s">
        <v>1753</v>
      </c>
      <c r="B847" t="s">
        <v>1754</v>
      </c>
      <c r="C847" t="s">
        <v>15</v>
      </c>
      <c r="D847" t="s">
        <v>20</v>
      </c>
      <c r="E847">
        <v>41</v>
      </c>
      <c r="F847" t="s">
        <v>104</v>
      </c>
      <c r="G847" t="s">
        <v>105</v>
      </c>
      <c r="H847" t="s">
        <v>108</v>
      </c>
      <c r="I847">
        <v>21</v>
      </c>
      <c r="J847" s="1">
        <v>100</v>
      </c>
      <c r="K847" t="s">
        <v>2068</v>
      </c>
      <c r="L847" t="s">
        <v>2070</v>
      </c>
      <c r="M847">
        <v>2.2000000000000002</v>
      </c>
      <c r="N847">
        <v>1</v>
      </c>
      <c r="O847" t="s">
        <v>2076</v>
      </c>
      <c r="P847">
        <v>0.83</v>
      </c>
      <c r="Q847" s="2">
        <v>0.83</v>
      </c>
      <c r="S847" s="5">
        <v>8.3000000000000001E-3</v>
      </c>
    </row>
    <row r="848" spans="1:19" x14ac:dyDescent="0.3">
      <c r="A848" t="s">
        <v>1755</v>
      </c>
      <c r="B848" t="s">
        <v>1756</v>
      </c>
      <c r="C848" t="s">
        <v>76</v>
      </c>
      <c r="D848" t="s">
        <v>80</v>
      </c>
      <c r="E848">
        <v>51</v>
      </c>
      <c r="F848" t="s">
        <v>104</v>
      </c>
      <c r="G848" t="s">
        <v>105</v>
      </c>
      <c r="H848" t="s">
        <v>60</v>
      </c>
      <c r="I848">
        <v>27</v>
      </c>
      <c r="J848" s="1">
        <v>50</v>
      </c>
      <c r="K848" t="s">
        <v>2065</v>
      </c>
      <c r="L848" t="s">
        <v>2071</v>
      </c>
      <c r="M848">
        <v>0</v>
      </c>
      <c r="N848" t="s">
        <v>67</v>
      </c>
      <c r="O848" t="s">
        <v>2077</v>
      </c>
      <c r="P848">
        <v>0.78</v>
      </c>
      <c r="Q848" s="2">
        <v>0.78</v>
      </c>
      <c r="S848" s="5">
        <v>1.5599999999999999E-2</v>
      </c>
    </row>
    <row r="849" spans="1:19" x14ac:dyDescent="0.3">
      <c r="A849" t="s">
        <v>1757</v>
      </c>
      <c r="B849" t="s">
        <v>1758</v>
      </c>
      <c r="C849" t="s">
        <v>76</v>
      </c>
      <c r="D849" t="s">
        <v>80</v>
      </c>
      <c r="E849">
        <v>30</v>
      </c>
      <c r="F849" t="s">
        <v>83</v>
      </c>
      <c r="G849" t="s">
        <v>84</v>
      </c>
      <c r="H849" t="s">
        <v>66</v>
      </c>
      <c r="I849">
        <v>0</v>
      </c>
      <c r="J849" s="1">
        <v>100</v>
      </c>
      <c r="K849" t="s">
        <v>2068</v>
      </c>
      <c r="L849" t="s">
        <v>2070</v>
      </c>
      <c r="M849">
        <v>4.0999999999999996</v>
      </c>
      <c r="N849">
        <v>0</v>
      </c>
      <c r="O849" t="s">
        <v>2077</v>
      </c>
      <c r="P849">
        <v>0.62</v>
      </c>
      <c r="Q849" s="2">
        <v>0.62</v>
      </c>
      <c r="S849" s="5">
        <v>6.1999999999999998E-3</v>
      </c>
    </row>
    <row r="850" spans="1:19" x14ac:dyDescent="0.3">
      <c r="A850" t="s">
        <v>1759</v>
      </c>
      <c r="B850" t="s">
        <v>1760</v>
      </c>
      <c r="C850" t="s">
        <v>76</v>
      </c>
      <c r="D850" t="s">
        <v>80</v>
      </c>
      <c r="E850">
        <v>20</v>
      </c>
      <c r="F850" t="s">
        <v>254</v>
      </c>
      <c r="G850" t="s">
        <v>255</v>
      </c>
      <c r="H850" t="s">
        <v>66</v>
      </c>
      <c r="I850">
        <v>1</v>
      </c>
      <c r="J850" s="1">
        <v>50</v>
      </c>
      <c r="K850" t="s">
        <v>2071</v>
      </c>
      <c r="M850">
        <v>3.4</v>
      </c>
      <c r="N850">
        <v>1</v>
      </c>
      <c r="O850" t="s">
        <v>2076</v>
      </c>
      <c r="P850">
        <v>79</v>
      </c>
      <c r="Q850" s="2">
        <v>0.79</v>
      </c>
      <c r="R850">
        <v>0.79</v>
      </c>
      <c r="S850" s="5">
        <v>1.5800000000000002E-2</v>
      </c>
    </row>
    <row r="851" spans="1:19" x14ac:dyDescent="0.3">
      <c r="A851" t="s">
        <v>1761</v>
      </c>
      <c r="B851" t="s">
        <v>1762</v>
      </c>
      <c r="C851" t="s">
        <v>76</v>
      </c>
      <c r="D851" t="s">
        <v>80</v>
      </c>
      <c r="E851">
        <v>23</v>
      </c>
      <c r="F851" t="s">
        <v>23</v>
      </c>
      <c r="G851" t="s">
        <v>24</v>
      </c>
      <c r="H851" t="s">
        <v>52</v>
      </c>
      <c r="J851" s="1">
        <v>75</v>
      </c>
      <c r="K851" t="s">
        <v>2066</v>
      </c>
      <c r="M851">
        <v>3.6</v>
      </c>
      <c r="N851">
        <v>1</v>
      </c>
      <c r="O851" t="s">
        <v>2076</v>
      </c>
      <c r="P851">
        <v>0.65</v>
      </c>
      <c r="Q851" s="2">
        <v>0.65</v>
      </c>
      <c r="S851" s="5">
        <v>8.6666666666666593E-3</v>
      </c>
    </row>
    <row r="852" spans="1:19" x14ac:dyDescent="0.3">
      <c r="A852" t="s">
        <v>1763</v>
      </c>
      <c r="B852" t="s">
        <v>1764</v>
      </c>
      <c r="C852" t="s">
        <v>111</v>
      </c>
      <c r="D852" t="s">
        <v>80</v>
      </c>
      <c r="E852">
        <v>56</v>
      </c>
      <c r="F852" t="s">
        <v>50</v>
      </c>
      <c r="G852" t="s">
        <v>51</v>
      </c>
      <c r="H852" t="s">
        <v>66</v>
      </c>
      <c r="I852">
        <v>3</v>
      </c>
      <c r="J852" s="1">
        <v>40</v>
      </c>
      <c r="K852" t="s">
        <v>2065</v>
      </c>
      <c r="L852" t="s">
        <v>2067</v>
      </c>
      <c r="M852">
        <v>1.7</v>
      </c>
      <c r="N852" t="s">
        <v>53</v>
      </c>
      <c r="O852" t="s">
        <v>2077</v>
      </c>
      <c r="P852">
        <v>0.71</v>
      </c>
      <c r="Q852" s="2">
        <v>0.71</v>
      </c>
      <c r="S852" s="5">
        <v>1.7749999999999998E-2</v>
      </c>
    </row>
    <row r="853" spans="1:19" x14ac:dyDescent="0.3">
      <c r="A853" t="s">
        <v>1765</v>
      </c>
      <c r="B853" t="s">
        <v>1766</v>
      </c>
      <c r="C853" t="s">
        <v>111</v>
      </c>
      <c r="D853" t="s">
        <v>80</v>
      </c>
      <c r="E853">
        <v>55</v>
      </c>
      <c r="F853" t="s">
        <v>91</v>
      </c>
      <c r="G853" t="s">
        <v>59</v>
      </c>
      <c r="H853" t="s">
        <v>39</v>
      </c>
      <c r="I853">
        <v>14</v>
      </c>
      <c r="J853" s="1">
        <v>50</v>
      </c>
      <c r="K853" t="s">
        <v>2068</v>
      </c>
      <c r="L853" t="s">
        <v>2071</v>
      </c>
      <c r="M853">
        <v>3.6</v>
      </c>
      <c r="N853">
        <v>1</v>
      </c>
      <c r="O853" t="s">
        <v>2076</v>
      </c>
      <c r="P853">
        <v>0.81</v>
      </c>
      <c r="Q853" s="2">
        <v>0.81</v>
      </c>
      <c r="S853" s="5">
        <v>1.6199999999999999E-2</v>
      </c>
    </row>
    <row r="854" spans="1:19" x14ac:dyDescent="0.3">
      <c r="A854" t="s">
        <v>1767</v>
      </c>
      <c r="B854" t="s">
        <v>1768</v>
      </c>
      <c r="C854" t="s">
        <v>76</v>
      </c>
      <c r="D854" t="s">
        <v>80</v>
      </c>
      <c r="E854">
        <v>47</v>
      </c>
      <c r="F854" t="s">
        <v>87</v>
      </c>
      <c r="G854" t="s">
        <v>88</v>
      </c>
      <c r="H854" t="s">
        <v>66</v>
      </c>
      <c r="I854">
        <v>15</v>
      </c>
      <c r="J854" s="1">
        <v>30</v>
      </c>
      <c r="K854" t="s">
        <v>2068</v>
      </c>
      <c r="L854" t="s">
        <v>2069</v>
      </c>
      <c r="M854">
        <v>4.5</v>
      </c>
      <c r="N854">
        <v>1</v>
      </c>
      <c r="O854" t="s">
        <v>2076</v>
      </c>
      <c r="P854">
        <v>0.85</v>
      </c>
      <c r="Q854" s="2">
        <v>0.85</v>
      </c>
      <c r="S854" s="5">
        <v>2.8333333333333301E-2</v>
      </c>
    </row>
    <row r="855" spans="1:19" x14ac:dyDescent="0.3">
      <c r="A855" t="s">
        <v>1769</v>
      </c>
      <c r="B855" t="s">
        <v>1770</v>
      </c>
      <c r="C855" t="s">
        <v>36</v>
      </c>
      <c r="D855" t="s">
        <v>20</v>
      </c>
      <c r="E855">
        <v>57</v>
      </c>
      <c r="F855" t="s">
        <v>155</v>
      </c>
      <c r="G855" t="s">
        <v>17</v>
      </c>
      <c r="H855" t="s">
        <v>47</v>
      </c>
      <c r="I855">
        <v>37</v>
      </c>
      <c r="J855" s="1">
        <v>30</v>
      </c>
      <c r="K855" t="s">
        <v>2069</v>
      </c>
      <c r="M855">
        <v>4.8</v>
      </c>
      <c r="N855" t="b">
        <v>0</v>
      </c>
      <c r="O855" t="s">
        <v>2077</v>
      </c>
    </row>
    <row r="856" spans="1:19" x14ac:dyDescent="0.3">
      <c r="A856" t="s">
        <v>1771</v>
      </c>
      <c r="B856" t="s">
        <v>1772</v>
      </c>
      <c r="C856" t="s">
        <v>36</v>
      </c>
      <c r="D856" t="s">
        <v>20</v>
      </c>
      <c r="E856">
        <v>25</v>
      </c>
      <c r="F856" t="s">
        <v>139</v>
      </c>
      <c r="G856" t="s">
        <v>59</v>
      </c>
      <c r="H856" t="s">
        <v>52</v>
      </c>
      <c r="I856">
        <v>2</v>
      </c>
      <c r="J856" s="1">
        <v>75</v>
      </c>
      <c r="K856" t="s">
        <v>2065</v>
      </c>
      <c r="L856" t="s">
        <v>2066</v>
      </c>
      <c r="M856">
        <v>3.7</v>
      </c>
      <c r="N856" t="s">
        <v>53</v>
      </c>
      <c r="O856" t="s">
        <v>2077</v>
      </c>
    </row>
    <row r="857" spans="1:19" x14ac:dyDescent="0.3">
      <c r="A857" t="s">
        <v>1773</v>
      </c>
      <c r="B857" t="s">
        <v>1774</v>
      </c>
      <c r="C857" t="s">
        <v>36</v>
      </c>
      <c r="D857" t="s">
        <v>20</v>
      </c>
      <c r="E857">
        <v>51</v>
      </c>
      <c r="F857" t="s">
        <v>77</v>
      </c>
      <c r="G857" t="s">
        <v>78</v>
      </c>
      <c r="H857" t="s">
        <v>66</v>
      </c>
      <c r="M857">
        <v>2.4</v>
      </c>
      <c r="N857" t="s">
        <v>53</v>
      </c>
      <c r="O857" t="s">
        <v>2077</v>
      </c>
      <c r="P857">
        <v>0.69</v>
      </c>
      <c r="Q857" s="2">
        <v>0.69</v>
      </c>
    </row>
    <row r="858" spans="1:19" x14ac:dyDescent="0.3">
      <c r="A858" t="s">
        <v>1775</v>
      </c>
      <c r="B858" t="s">
        <v>1776</v>
      </c>
      <c r="C858" t="s">
        <v>111</v>
      </c>
      <c r="D858" t="s">
        <v>80</v>
      </c>
      <c r="E858">
        <v>35</v>
      </c>
      <c r="F858" t="s">
        <v>83</v>
      </c>
      <c r="G858" t="s">
        <v>84</v>
      </c>
      <c r="H858" t="s">
        <v>63</v>
      </c>
      <c r="I858">
        <v>17</v>
      </c>
      <c r="J858" s="1">
        <v>50</v>
      </c>
      <c r="K858" t="s">
        <v>2071</v>
      </c>
      <c r="M858">
        <v>3.1</v>
      </c>
      <c r="N858">
        <v>0</v>
      </c>
      <c r="O858" t="s">
        <v>2077</v>
      </c>
      <c r="P858">
        <v>0.71</v>
      </c>
      <c r="Q858" s="2">
        <v>0.71</v>
      </c>
      <c r="S858" s="5">
        <v>1.4200000000000001E-2</v>
      </c>
    </row>
    <row r="859" spans="1:19" x14ac:dyDescent="0.3">
      <c r="A859" t="s">
        <v>1777</v>
      </c>
      <c r="B859" t="s">
        <v>1778</v>
      </c>
      <c r="C859" t="s">
        <v>76</v>
      </c>
      <c r="D859" t="s">
        <v>80</v>
      </c>
      <c r="E859">
        <v>21</v>
      </c>
      <c r="F859" t="s">
        <v>254</v>
      </c>
      <c r="G859" t="s">
        <v>255</v>
      </c>
      <c r="H859" t="s">
        <v>60</v>
      </c>
      <c r="I859">
        <v>0</v>
      </c>
      <c r="M859">
        <v>0</v>
      </c>
      <c r="N859">
        <v>1</v>
      </c>
      <c r="O859" t="s">
        <v>2076</v>
      </c>
      <c r="P859">
        <v>0.95</v>
      </c>
      <c r="Q859" s="2">
        <v>0.95</v>
      </c>
    </row>
    <row r="860" spans="1:19" x14ac:dyDescent="0.3">
      <c r="A860" t="s">
        <v>1779</v>
      </c>
      <c r="B860" t="s">
        <v>1780</v>
      </c>
      <c r="C860" t="s">
        <v>111</v>
      </c>
      <c r="D860" t="s">
        <v>80</v>
      </c>
      <c r="E860">
        <v>40</v>
      </c>
      <c r="F860" t="s">
        <v>58</v>
      </c>
      <c r="G860" t="s">
        <v>59</v>
      </c>
      <c r="H860" t="s">
        <v>52</v>
      </c>
      <c r="I860">
        <v>20</v>
      </c>
      <c r="J860" s="1">
        <v>20</v>
      </c>
      <c r="K860" t="s">
        <v>2072</v>
      </c>
      <c r="M860">
        <v>2.2999999999999998</v>
      </c>
      <c r="N860">
        <v>0</v>
      </c>
      <c r="O860" t="s">
        <v>2077</v>
      </c>
      <c r="P860">
        <v>0.92</v>
      </c>
      <c r="Q860" s="2">
        <v>0.92</v>
      </c>
      <c r="S860" s="5">
        <v>4.5999999999999999E-2</v>
      </c>
    </row>
    <row r="861" spans="1:19" x14ac:dyDescent="0.3">
      <c r="A861" t="s">
        <v>1781</v>
      </c>
      <c r="B861" t="s">
        <v>1782</v>
      </c>
      <c r="C861" t="s">
        <v>76</v>
      </c>
      <c r="D861" t="s">
        <v>80</v>
      </c>
      <c r="E861">
        <v>52</v>
      </c>
      <c r="F861" t="s">
        <v>31</v>
      </c>
      <c r="G861" t="s">
        <v>32</v>
      </c>
      <c r="H861" t="s">
        <v>52</v>
      </c>
      <c r="I861">
        <v>32</v>
      </c>
      <c r="J861" s="1">
        <v>75</v>
      </c>
      <c r="K861" t="s">
        <v>2065</v>
      </c>
      <c r="L861" t="s">
        <v>2066</v>
      </c>
      <c r="M861">
        <v>3.2</v>
      </c>
      <c r="N861">
        <v>0</v>
      </c>
      <c r="O861" t="s">
        <v>2077</v>
      </c>
      <c r="P861">
        <v>0.79</v>
      </c>
      <c r="Q861" s="2">
        <v>0.79</v>
      </c>
      <c r="S861" s="5">
        <v>1.0533333333333301E-2</v>
      </c>
    </row>
    <row r="862" spans="1:19" x14ac:dyDescent="0.3">
      <c r="A862" t="s">
        <v>1783</v>
      </c>
      <c r="B862" t="s">
        <v>1784</v>
      </c>
      <c r="C862" t="s">
        <v>76</v>
      </c>
      <c r="D862" t="s">
        <v>80</v>
      </c>
      <c r="E862">
        <v>28</v>
      </c>
      <c r="F862" t="s">
        <v>87</v>
      </c>
      <c r="G862" t="s">
        <v>88</v>
      </c>
      <c r="H862" t="s">
        <v>60</v>
      </c>
      <c r="I862">
        <v>10</v>
      </c>
      <c r="M862">
        <v>3.8</v>
      </c>
      <c r="N862" t="s">
        <v>19</v>
      </c>
      <c r="O862" t="s">
        <v>2076</v>
      </c>
      <c r="P862">
        <v>0.98</v>
      </c>
      <c r="Q862" s="2">
        <v>0.98</v>
      </c>
    </row>
    <row r="863" spans="1:19" x14ac:dyDescent="0.3">
      <c r="A863" t="s">
        <v>1785</v>
      </c>
      <c r="B863" t="s">
        <v>1786</v>
      </c>
      <c r="C863" t="s">
        <v>76</v>
      </c>
      <c r="D863" t="s">
        <v>80</v>
      </c>
      <c r="E863">
        <v>40</v>
      </c>
      <c r="F863" t="s">
        <v>118</v>
      </c>
      <c r="G863" t="s">
        <v>119</v>
      </c>
      <c r="H863" t="s">
        <v>63</v>
      </c>
      <c r="I863">
        <v>2</v>
      </c>
      <c r="J863" s="1">
        <v>100</v>
      </c>
      <c r="K863" t="s">
        <v>2065</v>
      </c>
      <c r="L863" t="s">
        <v>2070</v>
      </c>
      <c r="M863">
        <v>0</v>
      </c>
      <c r="N863">
        <v>0</v>
      </c>
      <c r="O863" t="s">
        <v>2077</v>
      </c>
    </row>
    <row r="864" spans="1:19" x14ac:dyDescent="0.3">
      <c r="A864" t="s">
        <v>1787</v>
      </c>
      <c r="B864" t="s">
        <v>1788</v>
      </c>
      <c r="C864" t="s">
        <v>111</v>
      </c>
      <c r="D864" t="s">
        <v>80</v>
      </c>
      <c r="E864">
        <v>41</v>
      </c>
      <c r="F864" t="s">
        <v>42</v>
      </c>
      <c r="G864" t="s">
        <v>43</v>
      </c>
      <c r="H864" t="s">
        <v>63</v>
      </c>
      <c r="I864">
        <v>23</v>
      </c>
      <c r="J864" s="1">
        <v>75</v>
      </c>
      <c r="K864" t="s">
        <v>2065</v>
      </c>
      <c r="L864" t="s">
        <v>2066</v>
      </c>
      <c r="M864">
        <v>1.4</v>
      </c>
      <c r="N864">
        <v>0</v>
      </c>
      <c r="O864" t="s">
        <v>2077</v>
      </c>
    </row>
    <row r="865" spans="1:19" x14ac:dyDescent="0.3">
      <c r="A865" t="s">
        <v>1789</v>
      </c>
      <c r="B865" t="s">
        <v>1790</v>
      </c>
      <c r="C865" t="s">
        <v>111</v>
      </c>
      <c r="D865" t="s">
        <v>80</v>
      </c>
      <c r="E865">
        <v>49</v>
      </c>
      <c r="F865" t="s">
        <v>27</v>
      </c>
      <c r="G865" t="s">
        <v>28</v>
      </c>
      <c r="H865" t="s">
        <v>52</v>
      </c>
      <c r="I865">
        <v>24</v>
      </c>
      <c r="J865" s="1">
        <v>75</v>
      </c>
      <c r="K865" t="s">
        <v>2065</v>
      </c>
      <c r="L865" t="s">
        <v>2066</v>
      </c>
      <c r="M865">
        <v>3</v>
      </c>
      <c r="N865">
        <v>1</v>
      </c>
      <c r="O865" t="s">
        <v>2076</v>
      </c>
      <c r="P865">
        <v>0.77</v>
      </c>
      <c r="Q865" s="2">
        <v>0.77</v>
      </c>
      <c r="S865" s="5">
        <v>1.02666666666667E-2</v>
      </c>
    </row>
    <row r="866" spans="1:19" x14ac:dyDescent="0.3">
      <c r="A866" t="s">
        <v>1791</v>
      </c>
      <c r="B866" t="s">
        <v>1792</v>
      </c>
      <c r="C866" t="s">
        <v>76</v>
      </c>
      <c r="D866" t="s">
        <v>80</v>
      </c>
      <c r="E866">
        <v>59</v>
      </c>
      <c r="F866" t="s">
        <v>23</v>
      </c>
      <c r="G866" t="s">
        <v>24</v>
      </c>
      <c r="H866" t="s">
        <v>52</v>
      </c>
      <c r="I866">
        <v>34</v>
      </c>
      <c r="J866" s="1">
        <v>100</v>
      </c>
      <c r="K866" t="s">
        <v>2070</v>
      </c>
      <c r="M866">
        <v>2</v>
      </c>
      <c r="N866">
        <v>1</v>
      </c>
      <c r="O866" t="s">
        <v>2076</v>
      </c>
      <c r="P866">
        <v>0.79</v>
      </c>
      <c r="Q866" s="2">
        <v>0.79</v>
      </c>
      <c r="S866" s="5">
        <v>7.9000000000000008E-3</v>
      </c>
    </row>
    <row r="867" spans="1:19" x14ac:dyDescent="0.3">
      <c r="A867" t="s">
        <v>1793</v>
      </c>
      <c r="B867" t="s">
        <v>1794</v>
      </c>
      <c r="C867" t="s">
        <v>76</v>
      </c>
      <c r="D867" t="s">
        <v>80</v>
      </c>
      <c r="E867">
        <v>29</v>
      </c>
      <c r="F867" t="s">
        <v>104</v>
      </c>
      <c r="G867" t="s">
        <v>105</v>
      </c>
      <c r="H867" t="s">
        <v>63</v>
      </c>
      <c r="I867">
        <v>6</v>
      </c>
      <c r="M867">
        <v>4.8</v>
      </c>
      <c r="N867" t="s">
        <v>53</v>
      </c>
      <c r="O867" t="s">
        <v>2077</v>
      </c>
      <c r="P867">
        <v>0.83</v>
      </c>
      <c r="Q867" s="2">
        <v>0.83</v>
      </c>
    </row>
    <row r="868" spans="1:19" x14ac:dyDescent="0.3">
      <c r="A868" t="s">
        <v>1795</v>
      </c>
      <c r="B868" t="s">
        <v>1796</v>
      </c>
      <c r="C868" t="s">
        <v>76</v>
      </c>
      <c r="D868" t="s">
        <v>80</v>
      </c>
      <c r="E868">
        <v>32</v>
      </c>
      <c r="F868" t="s">
        <v>155</v>
      </c>
      <c r="G868" t="s">
        <v>17</v>
      </c>
      <c r="H868" t="s">
        <v>108</v>
      </c>
      <c r="I868">
        <v>1</v>
      </c>
      <c r="J868" s="1">
        <v>100</v>
      </c>
      <c r="K868" t="s">
        <v>2070</v>
      </c>
      <c r="M868">
        <v>4.7</v>
      </c>
      <c r="N868">
        <v>0</v>
      </c>
      <c r="O868" t="s">
        <v>2077</v>
      </c>
      <c r="P868">
        <v>0.67</v>
      </c>
      <c r="Q868" s="2">
        <v>0.67</v>
      </c>
      <c r="S868" s="5">
        <v>6.7000000000000002E-3</v>
      </c>
    </row>
    <row r="869" spans="1:19" x14ac:dyDescent="0.3">
      <c r="A869" t="s">
        <v>1797</v>
      </c>
      <c r="B869" t="s">
        <v>1796</v>
      </c>
      <c r="C869" t="s">
        <v>111</v>
      </c>
      <c r="D869" t="s">
        <v>80</v>
      </c>
      <c r="E869">
        <v>33</v>
      </c>
      <c r="F869" t="s">
        <v>104</v>
      </c>
      <c r="G869" t="s">
        <v>105</v>
      </c>
      <c r="H869" t="s">
        <v>63</v>
      </c>
      <c r="I869">
        <v>6</v>
      </c>
      <c r="J869" s="1">
        <v>50</v>
      </c>
      <c r="K869" t="s">
        <v>2065</v>
      </c>
      <c r="L869" t="s">
        <v>2071</v>
      </c>
      <c r="M869">
        <v>3.1</v>
      </c>
      <c r="N869" t="s">
        <v>67</v>
      </c>
      <c r="O869" t="s">
        <v>2077</v>
      </c>
      <c r="P869">
        <v>0.9</v>
      </c>
      <c r="Q869" s="2">
        <v>0.9</v>
      </c>
      <c r="S869" s="5">
        <v>1.7999999999999999E-2</v>
      </c>
    </row>
    <row r="870" spans="1:19" x14ac:dyDescent="0.3">
      <c r="A870" t="s">
        <v>1798</v>
      </c>
      <c r="B870" t="s">
        <v>1799</v>
      </c>
      <c r="C870" t="s">
        <v>76</v>
      </c>
      <c r="D870" t="s">
        <v>80</v>
      </c>
      <c r="E870">
        <v>36</v>
      </c>
      <c r="F870" t="s">
        <v>58</v>
      </c>
      <c r="G870" t="s">
        <v>59</v>
      </c>
      <c r="H870" t="s">
        <v>60</v>
      </c>
      <c r="I870">
        <v>13</v>
      </c>
      <c r="J870" s="1">
        <v>30</v>
      </c>
      <c r="K870" t="s">
        <v>2069</v>
      </c>
      <c r="M870">
        <v>3.6</v>
      </c>
      <c r="N870">
        <v>0</v>
      </c>
      <c r="O870" t="s">
        <v>2077</v>
      </c>
      <c r="P870">
        <v>0.86</v>
      </c>
      <c r="Q870" s="2">
        <v>0.86</v>
      </c>
      <c r="S870" s="5">
        <v>2.8666666666666701E-2</v>
      </c>
    </row>
    <row r="871" spans="1:19" x14ac:dyDescent="0.3">
      <c r="A871" t="s">
        <v>1800</v>
      </c>
      <c r="B871" t="s">
        <v>1801</v>
      </c>
      <c r="C871" t="s">
        <v>76</v>
      </c>
      <c r="D871" t="s">
        <v>80</v>
      </c>
      <c r="E871">
        <v>23</v>
      </c>
      <c r="F871" t="s">
        <v>91</v>
      </c>
      <c r="G871" t="s">
        <v>59</v>
      </c>
      <c r="H871" t="s">
        <v>66</v>
      </c>
      <c r="I871">
        <v>5</v>
      </c>
      <c r="J871" s="1">
        <v>100</v>
      </c>
      <c r="K871" t="s">
        <v>2070</v>
      </c>
      <c r="M871">
        <v>3.2</v>
      </c>
      <c r="N871">
        <v>1</v>
      </c>
      <c r="O871" t="s">
        <v>2076</v>
      </c>
    </row>
    <row r="872" spans="1:19" x14ac:dyDescent="0.3">
      <c r="A872" t="s">
        <v>1802</v>
      </c>
      <c r="B872" t="s">
        <v>1803</v>
      </c>
      <c r="C872" t="s">
        <v>76</v>
      </c>
      <c r="D872" t="s">
        <v>80</v>
      </c>
      <c r="E872">
        <v>54</v>
      </c>
      <c r="F872" t="s">
        <v>254</v>
      </c>
      <c r="G872" t="s">
        <v>255</v>
      </c>
      <c r="H872" t="s">
        <v>52</v>
      </c>
      <c r="I872">
        <v>28</v>
      </c>
      <c r="J872" s="1">
        <v>40</v>
      </c>
      <c r="K872" t="s">
        <v>2068</v>
      </c>
      <c r="L872" t="s">
        <v>2067</v>
      </c>
      <c r="M872">
        <v>1.1000000000000001</v>
      </c>
      <c r="N872" t="s">
        <v>67</v>
      </c>
      <c r="O872" t="s">
        <v>2077</v>
      </c>
    </row>
    <row r="873" spans="1:19" x14ac:dyDescent="0.3">
      <c r="A873" t="s">
        <v>1804</v>
      </c>
      <c r="B873" t="s">
        <v>1805</v>
      </c>
      <c r="C873" t="s">
        <v>111</v>
      </c>
      <c r="D873" t="s">
        <v>80</v>
      </c>
      <c r="E873">
        <v>46</v>
      </c>
      <c r="F873" t="s">
        <v>118</v>
      </c>
      <c r="G873" t="s">
        <v>119</v>
      </c>
      <c r="H873" t="s">
        <v>33</v>
      </c>
      <c r="I873">
        <v>16</v>
      </c>
      <c r="J873" s="1">
        <v>75</v>
      </c>
      <c r="K873" t="s">
        <v>2066</v>
      </c>
      <c r="M873">
        <v>0</v>
      </c>
      <c r="N873" t="s">
        <v>67</v>
      </c>
      <c r="O873" t="s">
        <v>2077</v>
      </c>
      <c r="P873">
        <v>0.94</v>
      </c>
      <c r="Q873" s="2">
        <v>0.94</v>
      </c>
      <c r="S873" s="5">
        <v>1.2533333333333301E-2</v>
      </c>
    </row>
    <row r="874" spans="1:19" x14ac:dyDescent="0.3">
      <c r="A874" t="s">
        <v>1806</v>
      </c>
      <c r="B874" t="s">
        <v>1807</v>
      </c>
      <c r="C874" t="s">
        <v>76</v>
      </c>
      <c r="D874" t="s">
        <v>80</v>
      </c>
      <c r="E874">
        <v>21</v>
      </c>
      <c r="F874" t="s">
        <v>91</v>
      </c>
      <c r="G874" t="s">
        <v>59</v>
      </c>
      <c r="H874" t="s">
        <v>39</v>
      </c>
      <c r="I874">
        <v>0</v>
      </c>
      <c r="J874" s="1">
        <v>30</v>
      </c>
      <c r="K874" t="s">
        <v>2069</v>
      </c>
      <c r="M874">
        <v>2.7</v>
      </c>
      <c r="N874">
        <v>1</v>
      </c>
      <c r="O874" t="s">
        <v>2076</v>
      </c>
      <c r="P874">
        <v>0.84</v>
      </c>
      <c r="Q874" s="2">
        <v>0.84</v>
      </c>
      <c r="S874" s="5">
        <v>2.8000000000000001E-2</v>
      </c>
    </row>
    <row r="875" spans="1:19" x14ac:dyDescent="0.3">
      <c r="A875" t="s">
        <v>1808</v>
      </c>
      <c r="B875" t="s">
        <v>1809</v>
      </c>
      <c r="C875" t="s">
        <v>15</v>
      </c>
      <c r="D875" t="s">
        <v>20</v>
      </c>
      <c r="E875">
        <v>46</v>
      </c>
      <c r="F875" t="s">
        <v>91</v>
      </c>
      <c r="G875" t="s">
        <v>59</v>
      </c>
      <c r="H875" t="s">
        <v>39</v>
      </c>
      <c r="I875">
        <v>5</v>
      </c>
      <c r="J875" s="1">
        <v>30</v>
      </c>
      <c r="K875" t="s">
        <v>2065</v>
      </c>
      <c r="L875" t="s">
        <v>2069</v>
      </c>
      <c r="M875">
        <v>2.6</v>
      </c>
      <c r="N875" t="s">
        <v>67</v>
      </c>
      <c r="O875" t="s">
        <v>2077</v>
      </c>
      <c r="P875">
        <v>0.76</v>
      </c>
      <c r="Q875" s="2">
        <v>0.76</v>
      </c>
      <c r="S875" s="5">
        <v>2.5333333333333301E-2</v>
      </c>
    </row>
    <row r="876" spans="1:19" x14ac:dyDescent="0.3">
      <c r="A876" t="s">
        <v>1810</v>
      </c>
      <c r="B876" t="s">
        <v>1811</v>
      </c>
      <c r="C876" t="s">
        <v>36</v>
      </c>
      <c r="D876" t="s">
        <v>20</v>
      </c>
      <c r="E876">
        <v>56</v>
      </c>
      <c r="F876" t="s">
        <v>23</v>
      </c>
      <c r="G876" t="s">
        <v>24</v>
      </c>
      <c r="H876" t="s">
        <v>18</v>
      </c>
      <c r="P876">
        <v>0.87</v>
      </c>
      <c r="Q876" s="2">
        <v>0.87</v>
      </c>
    </row>
    <row r="877" spans="1:19" x14ac:dyDescent="0.3">
      <c r="A877" t="s">
        <v>1812</v>
      </c>
      <c r="B877" t="s">
        <v>1813</v>
      </c>
      <c r="C877" t="s">
        <v>36</v>
      </c>
      <c r="D877" t="s">
        <v>20</v>
      </c>
      <c r="E877">
        <v>36</v>
      </c>
      <c r="F877" t="s">
        <v>87</v>
      </c>
      <c r="G877" t="s">
        <v>88</v>
      </c>
      <c r="H877" t="s">
        <v>18</v>
      </c>
      <c r="I877">
        <v>4</v>
      </c>
      <c r="J877" s="1">
        <v>40</v>
      </c>
      <c r="K877" t="s">
        <v>2067</v>
      </c>
      <c r="M877">
        <v>2.6</v>
      </c>
      <c r="N877" t="s">
        <v>67</v>
      </c>
      <c r="O877" t="s">
        <v>2077</v>
      </c>
      <c r="P877">
        <v>0.9</v>
      </c>
      <c r="Q877" s="2">
        <v>0.9</v>
      </c>
      <c r="S877" s="5">
        <v>2.2499999999999999E-2</v>
      </c>
    </row>
    <row r="878" spans="1:19" x14ac:dyDescent="0.3">
      <c r="A878" t="s">
        <v>1814</v>
      </c>
      <c r="B878" t="s">
        <v>1815</v>
      </c>
      <c r="C878" t="s">
        <v>36</v>
      </c>
      <c r="D878" t="s">
        <v>20</v>
      </c>
      <c r="E878">
        <v>33</v>
      </c>
      <c r="F878" t="s">
        <v>42</v>
      </c>
      <c r="G878" t="s">
        <v>43</v>
      </c>
      <c r="H878" t="s">
        <v>47</v>
      </c>
      <c r="J878" s="1">
        <v>40</v>
      </c>
      <c r="K878" t="s">
        <v>2065</v>
      </c>
      <c r="L878" t="s">
        <v>2067</v>
      </c>
      <c r="M878">
        <v>4.3</v>
      </c>
      <c r="N878">
        <v>1</v>
      </c>
      <c r="O878" t="s">
        <v>2076</v>
      </c>
      <c r="P878">
        <v>0.63</v>
      </c>
      <c r="Q878" s="2">
        <v>0.63</v>
      </c>
      <c r="S878" s="5">
        <v>1.575E-2</v>
      </c>
    </row>
    <row r="879" spans="1:19" x14ac:dyDescent="0.3">
      <c r="A879" t="s">
        <v>1816</v>
      </c>
      <c r="B879" t="s">
        <v>1817</v>
      </c>
      <c r="C879" t="s">
        <v>15</v>
      </c>
      <c r="D879" t="s">
        <v>20</v>
      </c>
      <c r="E879">
        <v>50</v>
      </c>
      <c r="F879" t="s">
        <v>16</v>
      </c>
      <c r="G879" t="s">
        <v>17</v>
      </c>
      <c r="H879" t="s">
        <v>108</v>
      </c>
      <c r="I879">
        <v>28</v>
      </c>
      <c r="J879" s="1">
        <v>30</v>
      </c>
      <c r="K879" t="s">
        <v>2069</v>
      </c>
      <c r="M879">
        <v>1.8</v>
      </c>
    </row>
    <row r="880" spans="1:19" x14ac:dyDescent="0.3">
      <c r="A880" t="s">
        <v>1818</v>
      </c>
      <c r="B880" t="s">
        <v>1819</v>
      </c>
      <c r="C880" t="s">
        <v>15</v>
      </c>
      <c r="D880" t="s">
        <v>20</v>
      </c>
      <c r="E880">
        <v>34</v>
      </c>
      <c r="F880" t="s">
        <v>46</v>
      </c>
      <c r="G880" t="s">
        <v>17</v>
      </c>
      <c r="H880" t="s">
        <v>52</v>
      </c>
      <c r="I880">
        <v>15</v>
      </c>
      <c r="J880" s="1">
        <v>75</v>
      </c>
      <c r="K880" t="s">
        <v>2066</v>
      </c>
      <c r="N880">
        <v>0</v>
      </c>
      <c r="O880" t="s">
        <v>2077</v>
      </c>
      <c r="P880">
        <v>0.73</v>
      </c>
      <c r="Q880" s="2">
        <v>0.73</v>
      </c>
      <c r="S880" s="5">
        <v>9.73333333333333E-3</v>
      </c>
    </row>
    <row r="881" spans="1:19" x14ac:dyDescent="0.3">
      <c r="A881" t="s">
        <v>1820</v>
      </c>
      <c r="B881" t="s">
        <v>1821</v>
      </c>
      <c r="C881" t="s">
        <v>36</v>
      </c>
      <c r="D881" t="s">
        <v>20</v>
      </c>
      <c r="E881">
        <v>56</v>
      </c>
      <c r="F881" t="s">
        <v>31</v>
      </c>
      <c r="G881" t="s">
        <v>32</v>
      </c>
      <c r="H881" t="s">
        <v>66</v>
      </c>
      <c r="I881">
        <v>15</v>
      </c>
      <c r="J881" s="1">
        <v>75</v>
      </c>
      <c r="K881" t="s">
        <v>2068</v>
      </c>
      <c r="L881" t="s">
        <v>2066</v>
      </c>
      <c r="M881">
        <v>0</v>
      </c>
      <c r="N881" t="s">
        <v>67</v>
      </c>
      <c r="O881" t="s">
        <v>2077</v>
      </c>
    </row>
    <row r="882" spans="1:19" x14ac:dyDescent="0.3">
      <c r="A882" t="s">
        <v>1822</v>
      </c>
      <c r="B882" t="s">
        <v>1823</v>
      </c>
      <c r="C882" t="s">
        <v>15</v>
      </c>
      <c r="D882" t="s">
        <v>20</v>
      </c>
      <c r="E882">
        <v>26</v>
      </c>
      <c r="F882" t="s">
        <v>139</v>
      </c>
      <c r="G882" t="s">
        <v>59</v>
      </c>
      <c r="H882" t="s">
        <v>18</v>
      </c>
      <c r="I882">
        <v>4</v>
      </c>
      <c r="M882">
        <v>4</v>
      </c>
      <c r="N882" t="b">
        <v>1</v>
      </c>
      <c r="O882" t="s">
        <v>2076</v>
      </c>
      <c r="P882">
        <v>0.76</v>
      </c>
      <c r="Q882" s="2">
        <v>0.76</v>
      </c>
    </row>
    <row r="883" spans="1:19" x14ac:dyDescent="0.3">
      <c r="A883" t="s">
        <v>1824</v>
      </c>
      <c r="B883" t="s">
        <v>1825</v>
      </c>
      <c r="C883" t="s">
        <v>36</v>
      </c>
      <c r="D883" t="s">
        <v>20</v>
      </c>
      <c r="E883">
        <v>41</v>
      </c>
      <c r="F883" t="s">
        <v>37</v>
      </c>
      <c r="G883" t="s">
        <v>38</v>
      </c>
      <c r="H883" t="s">
        <v>79</v>
      </c>
      <c r="I883">
        <v>15</v>
      </c>
      <c r="M883">
        <v>3.8</v>
      </c>
      <c r="N883">
        <v>1</v>
      </c>
      <c r="O883" t="s">
        <v>2076</v>
      </c>
    </row>
    <row r="884" spans="1:19" x14ac:dyDescent="0.3">
      <c r="A884" t="s">
        <v>1826</v>
      </c>
      <c r="B884" t="s">
        <v>1827</v>
      </c>
      <c r="C884" t="s">
        <v>15</v>
      </c>
      <c r="D884" t="s">
        <v>20</v>
      </c>
      <c r="E884">
        <v>45</v>
      </c>
      <c r="F884" t="s">
        <v>155</v>
      </c>
      <c r="G884" t="s">
        <v>17</v>
      </c>
      <c r="H884" t="s">
        <v>60</v>
      </c>
      <c r="I884">
        <v>19</v>
      </c>
      <c r="J884" s="1">
        <v>75</v>
      </c>
      <c r="K884" t="s">
        <v>2066</v>
      </c>
      <c r="M884">
        <v>0</v>
      </c>
      <c r="N884" t="s">
        <v>67</v>
      </c>
      <c r="O884" t="s">
        <v>2077</v>
      </c>
      <c r="P884">
        <v>0.72</v>
      </c>
      <c r="Q884" s="2">
        <v>0.72</v>
      </c>
      <c r="S884" s="5">
        <v>9.5999999999999992E-3</v>
      </c>
    </row>
    <row r="885" spans="1:19" x14ac:dyDescent="0.3">
      <c r="A885" t="s">
        <v>1828</v>
      </c>
      <c r="B885" t="s">
        <v>1829</v>
      </c>
      <c r="C885" t="s">
        <v>36</v>
      </c>
      <c r="D885" t="s">
        <v>20</v>
      </c>
      <c r="E885">
        <v>32</v>
      </c>
      <c r="F885" t="s">
        <v>31</v>
      </c>
      <c r="G885" t="s">
        <v>32</v>
      </c>
      <c r="H885" t="s">
        <v>79</v>
      </c>
      <c r="I885">
        <v>14</v>
      </c>
      <c r="N885">
        <v>0</v>
      </c>
      <c r="O885" t="s">
        <v>2077</v>
      </c>
      <c r="P885">
        <v>0.96</v>
      </c>
      <c r="Q885" s="2">
        <v>0.96</v>
      </c>
    </row>
    <row r="886" spans="1:19" x14ac:dyDescent="0.3">
      <c r="A886" t="s">
        <v>1830</v>
      </c>
      <c r="B886" t="s">
        <v>1831</v>
      </c>
      <c r="C886" t="s">
        <v>15</v>
      </c>
      <c r="D886" t="s">
        <v>20</v>
      </c>
      <c r="E886">
        <v>23</v>
      </c>
      <c r="F886" t="s">
        <v>139</v>
      </c>
      <c r="G886" t="s">
        <v>59</v>
      </c>
      <c r="H886" t="s">
        <v>18</v>
      </c>
      <c r="I886">
        <v>4</v>
      </c>
      <c r="J886" s="1">
        <v>100</v>
      </c>
      <c r="K886" t="s">
        <v>2065</v>
      </c>
      <c r="L886" t="s">
        <v>2070</v>
      </c>
      <c r="M886">
        <v>2.2000000000000002</v>
      </c>
      <c r="N886">
        <v>1</v>
      </c>
      <c r="O886" t="s">
        <v>2076</v>
      </c>
      <c r="P886">
        <v>64</v>
      </c>
      <c r="Q886" s="2">
        <v>0.64</v>
      </c>
      <c r="R886">
        <v>0.64</v>
      </c>
      <c r="S886" s="5">
        <v>6.4000000000000003E-3</v>
      </c>
    </row>
    <row r="887" spans="1:19" x14ac:dyDescent="0.3">
      <c r="A887" t="s">
        <v>1832</v>
      </c>
      <c r="B887" t="s">
        <v>1833</v>
      </c>
      <c r="C887" t="s">
        <v>36</v>
      </c>
      <c r="D887" t="s">
        <v>20</v>
      </c>
      <c r="E887">
        <v>21</v>
      </c>
      <c r="F887" t="s">
        <v>58</v>
      </c>
      <c r="G887" t="s">
        <v>59</v>
      </c>
      <c r="H887" t="s">
        <v>52</v>
      </c>
      <c r="I887">
        <v>3</v>
      </c>
      <c r="J887" s="1">
        <v>40</v>
      </c>
      <c r="K887" t="s">
        <v>2067</v>
      </c>
      <c r="M887">
        <v>0</v>
      </c>
      <c r="N887">
        <v>0</v>
      </c>
      <c r="O887" t="s">
        <v>2077</v>
      </c>
      <c r="P887">
        <v>0.87</v>
      </c>
      <c r="Q887" s="2">
        <v>0.87</v>
      </c>
      <c r="S887" s="5">
        <v>2.1749999999999999E-2</v>
      </c>
    </row>
    <row r="888" spans="1:19" x14ac:dyDescent="0.3">
      <c r="A888" t="s">
        <v>1834</v>
      </c>
      <c r="B888" t="s">
        <v>1835</v>
      </c>
      <c r="C888" t="s">
        <v>36</v>
      </c>
      <c r="D888" t="s">
        <v>20</v>
      </c>
      <c r="E888">
        <v>34</v>
      </c>
      <c r="F888" t="s">
        <v>91</v>
      </c>
      <c r="G888" t="s">
        <v>59</v>
      </c>
      <c r="H888" t="s">
        <v>60</v>
      </c>
      <c r="I888">
        <v>4</v>
      </c>
      <c r="J888" s="1">
        <v>75</v>
      </c>
      <c r="K888" t="s">
        <v>2066</v>
      </c>
      <c r="M888">
        <v>4</v>
      </c>
      <c r="N888">
        <v>1</v>
      </c>
      <c r="O888" t="s">
        <v>2076</v>
      </c>
    </row>
    <row r="889" spans="1:19" x14ac:dyDescent="0.3">
      <c r="A889" t="s">
        <v>1836</v>
      </c>
      <c r="B889" t="s">
        <v>1837</v>
      </c>
      <c r="C889" t="s">
        <v>76</v>
      </c>
      <c r="D889" t="s">
        <v>80</v>
      </c>
      <c r="E889">
        <v>21</v>
      </c>
      <c r="F889" t="s">
        <v>87</v>
      </c>
      <c r="G889" t="s">
        <v>88</v>
      </c>
      <c r="H889" t="s">
        <v>79</v>
      </c>
      <c r="I889">
        <v>0</v>
      </c>
      <c r="J889" s="1">
        <v>20</v>
      </c>
      <c r="K889" t="s">
        <v>2072</v>
      </c>
      <c r="M889">
        <v>1.8</v>
      </c>
      <c r="N889" t="s">
        <v>53</v>
      </c>
      <c r="O889" t="s">
        <v>2077</v>
      </c>
      <c r="P889">
        <v>0.91</v>
      </c>
      <c r="Q889" s="2">
        <v>0.91</v>
      </c>
      <c r="S889" s="5">
        <v>4.5499999999999999E-2</v>
      </c>
    </row>
    <row r="890" spans="1:19" x14ac:dyDescent="0.3">
      <c r="A890" t="s">
        <v>1838</v>
      </c>
      <c r="B890" t="s">
        <v>1839</v>
      </c>
      <c r="C890" t="s">
        <v>76</v>
      </c>
      <c r="D890" t="s">
        <v>80</v>
      </c>
      <c r="E890">
        <v>42</v>
      </c>
      <c r="F890" t="s">
        <v>158</v>
      </c>
      <c r="G890" t="s">
        <v>159</v>
      </c>
      <c r="H890" t="s">
        <v>66</v>
      </c>
      <c r="I890">
        <v>22</v>
      </c>
      <c r="M890">
        <v>2.9</v>
      </c>
      <c r="N890">
        <v>0</v>
      </c>
      <c r="O890" t="s">
        <v>2077</v>
      </c>
      <c r="P890">
        <v>0.61</v>
      </c>
      <c r="Q890" s="2">
        <v>0.61</v>
      </c>
    </row>
    <row r="891" spans="1:19" x14ac:dyDescent="0.3">
      <c r="A891" t="s">
        <v>1840</v>
      </c>
      <c r="B891" t="s">
        <v>1841</v>
      </c>
      <c r="C891" t="s">
        <v>36</v>
      </c>
      <c r="D891" t="s">
        <v>20</v>
      </c>
      <c r="E891">
        <v>21</v>
      </c>
      <c r="F891" t="s">
        <v>158</v>
      </c>
      <c r="G891" t="s">
        <v>159</v>
      </c>
      <c r="H891" t="s">
        <v>33</v>
      </c>
      <c r="I891">
        <v>0</v>
      </c>
      <c r="J891" s="1">
        <v>40</v>
      </c>
      <c r="K891" t="s">
        <v>2068</v>
      </c>
      <c r="L891" t="s">
        <v>2067</v>
      </c>
      <c r="M891">
        <v>3.7</v>
      </c>
      <c r="N891">
        <v>0</v>
      </c>
      <c r="O891" t="s">
        <v>2077</v>
      </c>
      <c r="P891">
        <v>0.74</v>
      </c>
      <c r="Q891" s="2">
        <v>0.74</v>
      </c>
      <c r="S891" s="5">
        <v>1.8499999999999999E-2</v>
      </c>
    </row>
    <row r="892" spans="1:19" x14ac:dyDescent="0.3">
      <c r="A892" t="s">
        <v>1842</v>
      </c>
      <c r="B892" t="s">
        <v>1843</v>
      </c>
      <c r="C892" t="s">
        <v>15</v>
      </c>
      <c r="D892" t="s">
        <v>20</v>
      </c>
      <c r="E892">
        <v>37</v>
      </c>
      <c r="F892" t="s">
        <v>27</v>
      </c>
      <c r="G892" t="s">
        <v>28</v>
      </c>
      <c r="H892" t="s">
        <v>47</v>
      </c>
      <c r="M892">
        <v>1.7</v>
      </c>
      <c r="N892" t="s">
        <v>19</v>
      </c>
      <c r="O892" t="s">
        <v>2076</v>
      </c>
      <c r="P892">
        <v>0.63</v>
      </c>
      <c r="Q892" s="2">
        <v>0.63</v>
      </c>
    </row>
    <row r="893" spans="1:19" x14ac:dyDescent="0.3">
      <c r="A893" t="s">
        <v>1844</v>
      </c>
      <c r="B893" t="s">
        <v>1845</v>
      </c>
      <c r="C893" t="s">
        <v>76</v>
      </c>
      <c r="D893" t="s">
        <v>80</v>
      </c>
      <c r="E893">
        <v>53</v>
      </c>
      <c r="F893" t="s">
        <v>155</v>
      </c>
      <c r="G893" t="s">
        <v>17</v>
      </c>
      <c r="H893" t="s">
        <v>66</v>
      </c>
      <c r="I893">
        <v>8</v>
      </c>
      <c r="J893" s="1">
        <v>20</v>
      </c>
      <c r="K893" t="s">
        <v>2072</v>
      </c>
      <c r="M893">
        <v>2.8</v>
      </c>
      <c r="N893" t="b">
        <v>1</v>
      </c>
      <c r="O893" t="s">
        <v>2076</v>
      </c>
    </row>
    <row r="894" spans="1:19" x14ac:dyDescent="0.3">
      <c r="A894" t="s">
        <v>1846</v>
      </c>
      <c r="B894" t="s">
        <v>1847</v>
      </c>
      <c r="C894" t="s">
        <v>111</v>
      </c>
      <c r="D894" t="s">
        <v>80</v>
      </c>
      <c r="E894">
        <v>47</v>
      </c>
      <c r="F894" t="s">
        <v>23</v>
      </c>
      <c r="G894" t="s">
        <v>24</v>
      </c>
      <c r="H894" t="s">
        <v>60</v>
      </c>
      <c r="I894">
        <v>22</v>
      </c>
      <c r="M894">
        <v>1.4</v>
      </c>
      <c r="N894" t="s">
        <v>19</v>
      </c>
      <c r="O894" t="s">
        <v>2076</v>
      </c>
      <c r="P894">
        <v>0.72</v>
      </c>
      <c r="Q894" s="2">
        <v>0.72</v>
      </c>
    </row>
    <row r="895" spans="1:19" x14ac:dyDescent="0.3">
      <c r="A895" t="s">
        <v>1848</v>
      </c>
      <c r="B895" t="s">
        <v>1849</v>
      </c>
      <c r="C895" t="s">
        <v>76</v>
      </c>
      <c r="D895" t="s">
        <v>80</v>
      </c>
      <c r="E895">
        <v>36</v>
      </c>
      <c r="F895" t="s">
        <v>254</v>
      </c>
      <c r="G895" t="s">
        <v>255</v>
      </c>
      <c r="H895" t="s">
        <v>63</v>
      </c>
      <c r="I895">
        <v>0</v>
      </c>
      <c r="J895" s="1">
        <v>20</v>
      </c>
      <c r="K895" t="s">
        <v>2072</v>
      </c>
      <c r="M895">
        <v>1.3</v>
      </c>
      <c r="N895" t="s">
        <v>96</v>
      </c>
      <c r="O895" t="s">
        <v>2076</v>
      </c>
      <c r="P895">
        <v>0.64</v>
      </c>
      <c r="Q895" s="2">
        <v>0.64</v>
      </c>
      <c r="S895" s="5">
        <v>3.2000000000000001E-2</v>
      </c>
    </row>
    <row r="896" spans="1:19" x14ac:dyDescent="0.3">
      <c r="A896" t="s">
        <v>1850</v>
      </c>
      <c r="B896" t="s">
        <v>1851</v>
      </c>
      <c r="C896" t="s">
        <v>111</v>
      </c>
      <c r="D896" t="s">
        <v>80</v>
      </c>
      <c r="E896">
        <v>45</v>
      </c>
      <c r="F896" t="s">
        <v>58</v>
      </c>
      <c r="G896" t="s">
        <v>59</v>
      </c>
      <c r="H896" t="s">
        <v>60</v>
      </c>
      <c r="I896">
        <v>14</v>
      </c>
      <c r="J896" s="1">
        <v>100</v>
      </c>
      <c r="K896" t="s">
        <v>2068</v>
      </c>
      <c r="L896" t="s">
        <v>2070</v>
      </c>
      <c r="M896">
        <v>1.1000000000000001</v>
      </c>
      <c r="N896" t="s">
        <v>67</v>
      </c>
      <c r="O896" t="s">
        <v>2077</v>
      </c>
      <c r="P896">
        <v>93</v>
      </c>
      <c r="Q896" s="2">
        <v>0.93</v>
      </c>
      <c r="R896">
        <v>0.93</v>
      </c>
      <c r="S896" s="5">
        <v>9.2999999999999992E-3</v>
      </c>
    </row>
    <row r="897" spans="1:19" x14ac:dyDescent="0.3">
      <c r="A897" t="s">
        <v>1852</v>
      </c>
      <c r="B897" t="s">
        <v>1853</v>
      </c>
      <c r="C897" t="s">
        <v>111</v>
      </c>
      <c r="D897" t="s">
        <v>80</v>
      </c>
      <c r="E897">
        <v>50</v>
      </c>
      <c r="F897" t="s">
        <v>23</v>
      </c>
      <c r="G897" t="s">
        <v>24</v>
      </c>
      <c r="H897" t="s">
        <v>79</v>
      </c>
      <c r="I897">
        <v>28</v>
      </c>
      <c r="J897" s="1">
        <v>100</v>
      </c>
      <c r="K897" t="s">
        <v>2065</v>
      </c>
      <c r="L897" t="s">
        <v>2070</v>
      </c>
      <c r="M897">
        <v>4.9000000000000004</v>
      </c>
      <c r="N897" t="s">
        <v>96</v>
      </c>
      <c r="O897" t="s">
        <v>2076</v>
      </c>
      <c r="P897">
        <v>0.86</v>
      </c>
      <c r="Q897" s="2">
        <v>0.86</v>
      </c>
      <c r="S897" s="5">
        <v>8.6E-3</v>
      </c>
    </row>
    <row r="898" spans="1:19" x14ac:dyDescent="0.3">
      <c r="A898" t="s">
        <v>1854</v>
      </c>
      <c r="B898" t="s">
        <v>1855</v>
      </c>
      <c r="C898" t="s">
        <v>76</v>
      </c>
      <c r="D898" t="s">
        <v>80</v>
      </c>
      <c r="E898">
        <v>53</v>
      </c>
      <c r="F898" t="s">
        <v>188</v>
      </c>
      <c r="G898" t="s">
        <v>189</v>
      </c>
      <c r="H898" t="s">
        <v>47</v>
      </c>
      <c r="I898">
        <v>26</v>
      </c>
      <c r="J898" s="1">
        <v>75</v>
      </c>
      <c r="K898" t="s">
        <v>2066</v>
      </c>
      <c r="M898">
        <v>2.4</v>
      </c>
      <c r="N898" t="s">
        <v>19</v>
      </c>
      <c r="O898" t="s">
        <v>2076</v>
      </c>
    </row>
    <row r="899" spans="1:19" x14ac:dyDescent="0.3">
      <c r="A899" t="s">
        <v>1856</v>
      </c>
      <c r="B899" t="s">
        <v>1857</v>
      </c>
      <c r="C899" t="s">
        <v>76</v>
      </c>
      <c r="D899" t="s">
        <v>80</v>
      </c>
      <c r="E899">
        <v>41</v>
      </c>
      <c r="F899" t="s">
        <v>101</v>
      </c>
      <c r="G899" t="s">
        <v>59</v>
      </c>
      <c r="H899" t="s">
        <v>18</v>
      </c>
      <c r="I899">
        <v>14</v>
      </c>
      <c r="J899" s="1">
        <v>30</v>
      </c>
      <c r="K899" t="s">
        <v>2069</v>
      </c>
      <c r="M899">
        <v>0</v>
      </c>
      <c r="N899" t="s">
        <v>96</v>
      </c>
      <c r="O899" t="s">
        <v>2076</v>
      </c>
      <c r="P899">
        <v>0.78</v>
      </c>
      <c r="Q899" s="2">
        <v>0.78</v>
      </c>
      <c r="S899" s="5">
        <v>2.5999999999999999E-2</v>
      </c>
    </row>
    <row r="900" spans="1:19" x14ac:dyDescent="0.3">
      <c r="A900" t="s">
        <v>1858</v>
      </c>
      <c r="B900" t="s">
        <v>1859</v>
      </c>
      <c r="C900" t="s">
        <v>76</v>
      </c>
      <c r="D900" t="s">
        <v>80</v>
      </c>
      <c r="E900">
        <v>48</v>
      </c>
      <c r="F900" t="s">
        <v>23</v>
      </c>
      <c r="G900" t="s">
        <v>24</v>
      </c>
      <c r="H900" t="s">
        <v>52</v>
      </c>
      <c r="I900">
        <v>28</v>
      </c>
      <c r="J900" s="1">
        <v>20</v>
      </c>
      <c r="K900" t="s">
        <v>2068</v>
      </c>
      <c r="L900" t="s">
        <v>2072</v>
      </c>
      <c r="M900">
        <v>0</v>
      </c>
      <c r="N900">
        <v>0</v>
      </c>
      <c r="O900" t="s">
        <v>2077</v>
      </c>
      <c r="P900">
        <v>0.88</v>
      </c>
      <c r="Q900" s="2">
        <v>0.88</v>
      </c>
      <c r="S900" s="5">
        <v>4.3999999999999997E-2</v>
      </c>
    </row>
    <row r="901" spans="1:19" x14ac:dyDescent="0.3">
      <c r="A901" t="s">
        <v>1860</v>
      </c>
      <c r="B901" t="s">
        <v>1861</v>
      </c>
      <c r="C901" t="s">
        <v>111</v>
      </c>
      <c r="D901" t="s">
        <v>80</v>
      </c>
      <c r="E901">
        <v>26</v>
      </c>
      <c r="F901" t="s">
        <v>254</v>
      </c>
      <c r="G901" t="s">
        <v>255</v>
      </c>
      <c r="H901" t="s">
        <v>66</v>
      </c>
      <c r="I901">
        <v>7</v>
      </c>
      <c r="J901" s="1">
        <v>100</v>
      </c>
      <c r="K901" t="s">
        <v>2068</v>
      </c>
      <c r="L901" t="s">
        <v>2070</v>
      </c>
      <c r="M901">
        <v>3.3</v>
      </c>
      <c r="N901" t="s">
        <v>19</v>
      </c>
      <c r="O901" t="s">
        <v>2076</v>
      </c>
      <c r="P901">
        <v>0.66</v>
      </c>
      <c r="Q901" s="2">
        <v>0.66</v>
      </c>
      <c r="S901" s="5">
        <v>6.6E-3</v>
      </c>
    </row>
    <row r="902" spans="1:19" x14ac:dyDescent="0.3">
      <c r="A902" t="s">
        <v>1862</v>
      </c>
      <c r="B902" t="s">
        <v>1863</v>
      </c>
      <c r="C902" t="s">
        <v>111</v>
      </c>
      <c r="D902" t="s">
        <v>80</v>
      </c>
      <c r="E902">
        <v>50</v>
      </c>
      <c r="F902" t="s">
        <v>50</v>
      </c>
      <c r="G902" t="s">
        <v>51</v>
      </c>
      <c r="H902" t="s">
        <v>66</v>
      </c>
      <c r="I902">
        <v>30</v>
      </c>
      <c r="J902" s="1">
        <v>100</v>
      </c>
      <c r="K902" t="s">
        <v>2070</v>
      </c>
      <c r="M902">
        <v>3</v>
      </c>
      <c r="N902">
        <v>1</v>
      </c>
      <c r="O902" t="s">
        <v>2076</v>
      </c>
      <c r="P902">
        <v>0.73</v>
      </c>
      <c r="Q902" s="2">
        <v>0.73</v>
      </c>
      <c r="S902" s="5">
        <v>7.3000000000000001E-3</v>
      </c>
    </row>
    <row r="903" spans="1:19" x14ac:dyDescent="0.3">
      <c r="A903" t="s">
        <v>1864</v>
      </c>
      <c r="B903" t="s">
        <v>1865</v>
      </c>
      <c r="C903" t="s">
        <v>76</v>
      </c>
      <c r="D903" t="s">
        <v>80</v>
      </c>
      <c r="E903">
        <v>36</v>
      </c>
      <c r="F903" t="s">
        <v>104</v>
      </c>
      <c r="G903" t="s">
        <v>105</v>
      </c>
      <c r="H903" t="s">
        <v>108</v>
      </c>
      <c r="I903">
        <v>17</v>
      </c>
      <c r="J903" s="1">
        <v>50</v>
      </c>
      <c r="K903" t="s">
        <v>2071</v>
      </c>
      <c r="M903">
        <v>1.3</v>
      </c>
      <c r="P903">
        <v>0.64</v>
      </c>
      <c r="Q903" s="2">
        <v>0.64</v>
      </c>
      <c r="S903" s="5">
        <v>1.2800000000000001E-2</v>
      </c>
    </row>
    <row r="904" spans="1:19" x14ac:dyDescent="0.3">
      <c r="A904" t="s">
        <v>1866</v>
      </c>
      <c r="B904" t="s">
        <v>1867</v>
      </c>
      <c r="C904" t="s">
        <v>76</v>
      </c>
      <c r="D904" t="s">
        <v>80</v>
      </c>
      <c r="E904">
        <v>22</v>
      </c>
      <c r="F904" t="s">
        <v>37</v>
      </c>
      <c r="G904" t="s">
        <v>38</v>
      </c>
      <c r="H904" t="s">
        <v>63</v>
      </c>
      <c r="I904">
        <v>3</v>
      </c>
      <c r="M904">
        <v>3</v>
      </c>
      <c r="N904" t="b">
        <v>1</v>
      </c>
      <c r="O904" t="s">
        <v>2076</v>
      </c>
      <c r="P904">
        <v>0.96</v>
      </c>
      <c r="Q904" s="2">
        <v>0.96</v>
      </c>
    </row>
    <row r="905" spans="1:19" x14ac:dyDescent="0.3">
      <c r="A905" t="s">
        <v>1868</v>
      </c>
      <c r="B905" t="s">
        <v>1869</v>
      </c>
      <c r="C905" t="s">
        <v>111</v>
      </c>
      <c r="D905" t="s">
        <v>80</v>
      </c>
      <c r="E905">
        <v>50</v>
      </c>
      <c r="F905" t="s">
        <v>23</v>
      </c>
      <c r="G905" t="s">
        <v>24</v>
      </c>
      <c r="H905" t="s">
        <v>52</v>
      </c>
      <c r="I905">
        <v>5</v>
      </c>
      <c r="J905" s="1">
        <v>100</v>
      </c>
      <c r="K905" t="s">
        <v>2070</v>
      </c>
      <c r="N905">
        <v>1</v>
      </c>
      <c r="O905" t="s">
        <v>2076</v>
      </c>
    </row>
    <row r="906" spans="1:19" x14ac:dyDescent="0.3">
      <c r="A906" t="s">
        <v>1870</v>
      </c>
      <c r="B906" t="s">
        <v>1871</v>
      </c>
      <c r="C906" t="s">
        <v>76</v>
      </c>
      <c r="D906" t="s">
        <v>80</v>
      </c>
      <c r="E906">
        <v>31</v>
      </c>
      <c r="F906" t="s">
        <v>188</v>
      </c>
      <c r="G906" t="s">
        <v>189</v>
      </c>
      <c r="H906" t="s">
        <v>63</v>
      </c>
      <c r="I906">
        <v>12</v>
      </c>
      <c r="J906" s="1">
        <v>40</v>
      </c>
      <c r="K906" t="s">
        <v>2065</v>
      </c>
      <c r="L906" t="s">
        <v>2067</v>
      </c>
      <c r="N906">
        <v>1</v>
      </c>
      <c r="O906" t="s">
        <v>2076</v>
      </c>
      <c r="P906">
        <v>1</v>
      </c>
      <c r="Q906" s="2">
        <v>1</v>
      </c>
      <c r="S906" s="5">
        <v>2.5000000000000001E-2</v>
      </c>
    </row>
    <row r="907" spans="1:19" x14ac:dyDescent="0.3">
      <c r="A907" t="s">
        <v>1872</v>
      </c>
      <c r="B907" t="s">
        <v>1873</v>
      </c>
      <c r="C907" t="s">
        <v>111</v>
      </c>
      <c r="D907" t="s">
        <v>80</v>
      </c>
      <c r="E907">
        <v>30</v>
      </c>
      <c r="F907" t="s">
        <v>37</v>
      </c>
      <c r="G907" t="s">
        <v>38</v>
      </c>
      <c r="H907" t="s">
        <v>18</v>
      </c>
      <c r="I907">
        <v>5</v>
      </c>
      <c r="J907" s="1">
        <v>30</v>
      </c>
      <c r="K907" t="s">
        <v>2068</v>
      </c>
      <c r="L907" t="s">
        <v>2069</v>
      </c>
      <c r="N907">
        <v>0</v>
      </c>
      <c r="O907" t="s">
        <v>2077</v>
      </c>
    </row>
    <row r="908" spans="1:19" x14ac:dyDescent="0.3">
      <c r="A908" t="s">
        <v>1874</v>
      </c>
      <c r="B908" t="s">
        <v>1875</v>
      </c>
      <c r="C908" t="s">
        <v>15</v>
      </c>
      <c r="D908" t="s">
        <v>20</v>
      </c>
      <c r="E908">
        <v>37</v>
      </c>
      <c r="F908" t="s">
        <v>118</v>
      </c>
      <c r="G908" t="s">
        <v>119</v>
      </c>
      <c r="H908" t="s">
        <v>18</v>
      </c>
      <c r="I908">
        <v>4</v>
      </c>
      <c r="N908" t="s">
        <v>53</v>
      </c>
      <c r="O908" t="s">
        <v>2077</v>
      </c>
    </row>
    <row r="909" spans="1:19" x14ac:dyDescent="0.3">
      <c r="A909" t="s">
        <v>1876</v>
      </c>
      <c r="B909" t="s">
        <v>1877</v>
      </c>
      <c r="C909" t="s">
        <v>15</v>
      </c>
      <c r="D909" t="s">
        <v>20</v>
      </c>
      <c r="E909">
        <v>31</v>
      </c>
      <c r="F909" t="s">
        <v>46</v>
      </c>
      <c r="G909" t="s">
        <v>17</v>
      </c>
      <c r="H909" t="s">
        <v>47</v>
      </c>
      <c r="I909">
        <v>13</v>
      </c>
      <c r="J909" s="1">
        <v>40</v>
      </c>
      <c r="K909" t="s">
        <v>2065</v>
      </c>
      <c r="L909" t="s">
        <v>2067</v>
      </c>
      <c r="M909">
        <v>1.2</v>
      </c>
      <c r="N909" t="b">
        <v>0</v>
      </c>
      <c r="O909" t="s">
        <v>2077</v>
      </c>
      <c r="P909">
        <v>62</v>
      </c>
      <c r="Q909" s="2">
        <v>0.62</v>
      </c>
      <c r="R909">
        <v>0.62</v>
      </c>
      <c r="S909" s="5">
        <v>1.55E-2</v>
      </c>
    </row>
    <row r="910" spans="1:19" x14ac:dyDescent="0.3">
      <c r="A910" t="s">
        <v>1878</v>
      </c>
      <c r="B910" t="s">
        <v>1879</v>
      </c>
      <c r="C910" t="s">
        <v>36</v>
      </c>
      <c r="D910" t="s">
        <v>20</v>
      </c>
      <c r="E910">
        <v>46</v>
      </c>
      <c r="F910" t="s">
        <v>87</v>
      </c>
      <c r="G910" t="s">
        <v>88</v>
      </c>
      <c r="H910" t="s">
        <v>47</v>
      </c>
      <c r="I910">
        <v>12</v>
      </c>
      <c r="J910" s="1">
        <v>50</v>
      </c>
      <c r="K910" t="s">
        <v>2071</v>
      </c>
      <c r="M910">
        <v>4.7</v>
      </c>
      <c r="N910" t="s">
        <v>19</v>
      </c>
      <c r="O910" t="s">
        <v>2076</v>
      </c>
      <c r="P910">
        <v>0.77</v>
      </c>
      <c r="Q910" s="2">
        <v>0.77</v>
      </c>
      <c r="S910" s="5">
        <v>1.54E-2</v>
      </c>
    </row>
    <row r="911" spans="1:19" x14ac:dyDescent="0.3">
      <c r="A911" t="s">
        <v>1880</v>
      </c>
      <c r="B911" t="s">
        <v>1881</v>
      </c>
      <c r="C911" t="s">
        <v>15</v>
      </c>
      <c r="D911" t="s">
        <v>20</v>
      </c>
      <c r="E911">
        <v>37</v>
      </c>
      <c r="F911" t="s">
        <v>118</v>
      </c>
      <c r="G911" t="s">
        <v>119</v>
      </c>
      <c r="H911" t="s">
        <v>63</v>
      </c>
      <c r="I911">
        <v>17</v>
      </c>
      <c r="J911" s="1">
        <v>20</v>
      </c>
      <c r="K911" t="s">
        <v>2068</v>
      </c>
      <c r="L911" t="s">
        <v>2072</v>
      </c>
      <c r="M911">
        <v>0</v>
      </c>
      <c r="N911" t="s">
        <v>19</v>
      </c>
      <c r="O911" t="s">
        <v>2076</v>
      </c>
      <c r="P911">
        <v>87</v>
      </c>
      <c r="Q911" s="2">
        <v>0.87</v>
      </c>
      <c r="R911">
        <v>0.87</v>
      </c>
      <c r="S911" s="5">
        <v>4.3499999999999997E-2</v>
      </c>
    </row>
    <row r="912" spans="1:19" x14ac:dyDescent="0.3">
      <c r="A912" t="s">
        <v>1882</v>
      </c>
      <c r="B912" t="s">
        <v>1883</v>
      </c>
      <c r="C912" t="s">
        <v>36</v>
      </c>
      <c r="D912" t="s">
        <v>20</v>
      </c>
      <c r="E912">
        <v>56</v>
      </c>
      <c r="F912" t="s">
        <v>83</v>
      </c>
      <c r="G912" t="s">
        <v>84</v>
      </c>
      <c r="H912" t="s">
        <v>63</v>
      </c>
      <c r="I912">
        <v>21</v>
      </c>
      <c r="J912" s="1">
        <v>100</v>
      </c>
      <c r="K912" t="s">
        <v>2068</v>
      </c>
      <c r="L912" t="s">
        <v>2070</v>
      </c>
      <c r="M912">
        <v>0</v>
      </c>
      <c r="N912" t="b">
        <v>1</v>
      </c>
      <c r="O912" t="s">
        <v>2076</v>
      </c>
      <c r="P912">
        <v>78</v>
      </c>
      <c r="Q912" s="2">
        <v>0.78</v>
      </c>
      <c r="R912">
        <v>0.78</v>
      </c>
      <c r="S912" s="5">
        <v>7.7999999999999996E-3</v>
      </c>
    </row>
    <row r="913" spans="1:19" x14ac:dyDescent="0.3">
      <c r="A913" t="s">
        <v>1884</v>
      </c>
      <c r="B913" t="s">
        <v>1885</v>
      </c>
      <c r="C913" t="s">
        <v>36</v>
      </c>
      <c r="D913" t="s">
        <v>20</v>
      </c>
      <c r="E913">
        <v>46</v>
      </c>
      <c r="F913" t="s">
        <v>37</v>
      </c>
      <c r="G913" t="s">
        <v>38</v>
      </c>
      <c r="H913" t="s">
        <v>52</v>
      </c>
      <c r="I913">
        <v>10</v>
      </c>
      <c r="M913">
        <v>4.5999999999999996</v>
      </c>
      <c r="N913" t="s">
        <v>96</v>
      </c>
      <c r="O913" t="s">
        <v>2076</v>
      </c>
      <c r="P913">
        <v>0.62</v>
      </c>
      <c r="Q913" s="2">
        <v>0.62</v>
      </c>
    </row>
    <row r="914" spans="1:19" x14ac:dyDescent="0.3">
      <c r="A914" t="s">
        <v>1886</v>
      </c>
      <c r="B914" t="s">
        <v>1887</v>
      </c>
      <c r="C914" t="s">
        <v>36</v>
      </c>
      <c r="D914" t="s">
        <v>20</v>
      </c>
      <c r="E914">
        <v>33</v>
      </c>
      <c r="F914" t="s">
        <v>77</v>
      </c>
      <c r="G914" t="s">
        <v>78</v>
      </c>
      <c r="H914" t="s">
        <v>60</v>
      </c>
      <c r="J914" s="1">
        <v>30</v>
      </c>
      <c r="K914" t="s">
        <v>2068</v>
      </c>
      <c r="L914" t="s">
        <v>2069</v>
      </c>
      <c r="M914">
        <v>4.4000000000000004</v>
      </c>
      <c r="N914" t="b">
        <v>1</v>
      </c>
      <c r="O914" t="s">
        <v>2076</v>
      </c>
      <c r="P914">
        <v>0.65</v>
      </c>
      <c r="Q914" s="2">
        <v>0.65</v>
      </c>
      <c r="S914" s="5">
        <v>2.1666666666666699E-2</v>
      </c>
    </row>
    <row r="915" spans="1:19" x14ac:dyDescent="0.3">
      <c r="A915" t="s">
        <v>1888</v>
      </c>
      <c r="B915" t="s">
        <v>1889</v>
      </c>
      <c r="C915" t="s">
        <v>15</v>
      </c>
      <c r="D915" t="s">
        <v>20</v>
      </c>
      <c r="E915">
        <v>59</v>
      </c>
      <c r="F915" t="s">
        <v>83</v>
      </c>
      <c r="G915" t="s">
        <v>84</v>
      </c>
      <c r="H915" t="s">
        <v>60</v>
      </c>
      <c r="I915">
        <v>17</v>
      </c>
      <c r="J915" s="1">
        <v>100</v>
      </c>
      <c r="K915" t="s">
        <v>2070</v>
      </c>
      <c r="M915">
        <v>4</v>
      </c>
      <c r="N915" t="s">
        <v>67</v>
      </c>
      <c r="O915" t="s">
        <v>2077</v>
      </c>
      <c r="P915">
        <v>0.72</v>
      </c>
      <c r="Q915" s="2">
        <v>0.72</v>
      </c>
      <c r="S915" s="5">
        <v>7.1999999999999998E-3</v>
      </c>
    </row>
    <row r="916" spans="1:19" x14ac:dyDescent="0.3">
      <c r="A916" t="s">
        <v>1890</v>
      </c>
      <c r="B916" t="s">
        <v>1891</v>
      </c>
      <c r="C916" t="s">
        <v>15</v>
      </c>
      <c r="D916" t="s">
        <v>20</v>
      </c>
      <c r="E916">
        <v>51</v>
      </c>
      <c r="F916" t="s">
        <v>77</v>
      </c>
      <c r="G916" t="s">
        <v>78</v>
      </c>
      <c r="H916" t="s">
        <v>108</v>
      </c>
      <c r="I916">
        <v>33</v>
      </c>
      <c r="J916" s="1">
        <v>40</v>
      </c>
      <c r="K916" t="s">
        <v>2068</v>
      </c>
      <c r="L916" t="s">
        <v>2067</v>
      </c>
      <c r="M916">
        <v>0</v>
      </c>
      <c r="N916" t="s">
        <v>96</v>
      </c>
      <c r="O916" t="s">
        <v>2076</v>
      </c>
      <c r="P916">
        <v>0.63</v>
      </c>
      <c r="Q916" s="2">
        <v>0.63</v>
      </c>
      <c r="S916" s="5">
        <v>1.575E-2</v>
      </c>
    </row>
    <row r="917" spans="1:19" x14ac:dyDescent="0.3">
      <c r="A917" t="s">
        <v>1892</v>
      </c>
      <c r="B917" t="s">
        <v>1893</v>
      </c>
      <c r="C917" t="s">
        <v>15</v>
      </c>
      <c r="D917" t="s">
        <v>20</v>
      </c>
      <c r="E917">
        <v>35</v>
      </c>
      <c r="F917" t="s">
        <v>58</v>
      </c>
      <c r="G917" t="s">
        <v>59</v>
      </c>
      <c r="H917" t="s">
        <v>108</v>
      </c>
      <c r="I917">
        <v>8</v>
      </c>
      <c r="J917" s="1">
        <v>50</v>
      </c>
      <c r="K917" t="s">
        <v>2068</v>
      </c>
      <c r="L917" t="s">
        <v>2071</v>
      </c>
      <c r="N917" t="s">
        <v>67</v>
      </c>
      <c r="O917" t="s">
        <v>2077</v>
      </c>
      <c r="P917">
        <v>90</v>
      </c>
      <c r="Q917" s="2">
        <v>0.9</v>
      </c>
      <c r="R917">
        <v>0.9</v>
      </c>
      <c r="S917" s="5">
        <v>1.7999999999999999E-2</v>
      </c>
    </row>
    <row r="918" spans="1:19" x14ac:dyDescent="0.3">
      <c r="A918" t="s">
        <v>1894</v>
      </c>
      <c r="B918" t="s">
        <v>1895</v>
      </c>
      <c r="C918" t="s">
        <v>15</v>
      </c>
      <c r="D918" t="s">
        <v>20</v>
      </c>
      <c r="E918">
        <v>56</v>
      </c>
      <c r="F918" t="s">
        <v>77</v>
      </c>
      <c r="G918" t="s">
        <v>78</v>
      </c>
      <c r="H918" t="s">
        <v>60</v>
      </c>
      <c r="I918">
        <v>15</v>
      </c>
      <c r="J918" s="1">
        <v>40</v>
      </c>
      <c r="K918" t="s">
        <v>2067</v>
      </c>
      <c r="M918">
        <v>3.7</v>
      </c>
      <c r="P918">
        <v>0.92</v>
      </c>
      <c r="Q918" s="2">
        <v>0.92</v>
      </c>
      <c r="S918" s="5">
        <v>2.3E-2</v>
      </c>
    </row>
    <row r="919" spans="1:19" x14ac:dyDescent="0.3">
      <c r="A919" t="s">
        <v>1896</v>
      </c>
      <c r="B919" t="s">
        <v>1897</v>
      </c>
      <c r="C919" t="s">
        <v>15</v>
      </c>
      <c r="D919" t="s">
        <v>20</v>
      </c>
      <c r="E919">
        <v>26</v>
      </c>
      <c r="F919" t="s">
        <v>77</v>
      </c>
      <c r="G919" t="s">
        <v>78</v>
      </c>
      <c r="H919" t="s">
        <v>33</v>
      </c>
      <c r="I919">
        <v>7</v>
      </c>
      <c r="J919" s="1">
        <v>75</v>
      </c>
      <c r="K919" t="s">
        <v>2068</v>
      </c>
      <c r="L919" t="s">
        <v>2066</v>
      </c>
      <c r="M919">
        <v>2.9</v>
      </c>
      <c r="N919">
        <v>0</v>
      </c>
      <c r="O919" t="s">
        <v>2077</v>
      </c>
      <c r="P919">
        <v>0.78</v>
      </c>
      <c r="Q919" s="2">
        <v>0.78</v>
      </c>
      <c r="S919" s="5">
        <v>1.04E-2</v>
      </c>
    </row>
    <row r="920" spans="1:19" x14ac:dyDescent="0.3">
      <c r="A920" t="s">
        <v>1898</v>
      </c>
      <c r="B920" t="s">
        <v>1899</v>
      </c>
      <c r="C920" t="s">
        <v>76</v>
      </c>
      <c r="D920" t="s">
        <v>80</v>
      </c>
      <c r="E920">
        <v>23</v>
      </c>
      <c r="F920" t="s">
        <v>188</v>
      </c>
      <c r="G920" t="s">
        <v>189</v>
      </c>
      <c r="H920" t="s">
        <v>108</v>
      </c>
      <c r="I920">
        <v>0</v>
      </c>
      <c r="J920" s="1">
        <v>75</v>
      </c>
      <c r="K920" t="s">
        <v>2068</v>
      </c>
      <c r="L920" t="s">
        <v>2066</v>
      </c>
      <c r="M920">
        <v>2.2999999999999998</v>
      </c>
      <c r="P920">
        <v>0.6</v>
      </c>
      <c r="Q920" s="2">
        <v>0.6</v>
      </c>
      <c r="S920" s="5">
        <v>8.0000000000000002E-3</v>
      </c>
    </row>
    <row r="921" spans="1:19" x14ac:dyDescent="0.3">
      <c r="A921" t="s">
        <v>1900</v>
      </c>
      <c r="B921" t="s">
        <v>1901</v>
      </c>
      <c r="C921" t="s">
        <v>76</v>
      </c>
      <c r="D921" t="s">
        <v>80</v>
      </c>
      <c r="E921">
        <v>46</v>
      </c>
      <c r="F921" t="s">
        <v>101</v>
      </c>
      <c r="G921" t="s">
        <v>59</v>
      </c>
      <c r="H921" t="s">
        <v>39</v>
      </c>
      <c r="I921">
        <v>26</v>
      </c>
      <c r="J921" s="1">
        <v>100</v>
      </c>
      <c r="K921" t="s">
        <v>2065</v>
      </c>
      <c r="L921" t="s">
        <v>2070</v>
      </c>
      <c r="M921">
        <v>2.1</v>
      </c>
    </row>
    <row r="922" spans="1:19" x14ac:dyDescent="0.3">
      <c r="A922" t="s">
        <v>1902</v>
      </c>
      <c r="B922" t="s">
        <v>1903</v>
      </c>
      <c r="C922" t="s">
        <v>76</v>
      </c>
      <c r="D922" t="s">
        <v>80</v>
      </c>
      <c r="E922">
        <v>31</v>
      </c>
      <c r="F922" t="s">
        <v>91</v>
      </c>
      <c r="G922" t="s">
        <v>59</v>
      </c>
      <c r="H922" t="s">
        <v>39</v>
      </c>
      <c r="I922">
        <v>10</v>
      </c>
      <c r="J922" s="1">
        <v>75</v>
      </c>
      <c r="K922" t="s">
        <v>2066</v>
      </c>
      <c r="M922">
        <v>0</v>
      </c>
      <c r="N922" t="s">
        <v>67</v>
      </c>
      <c r="O922" t="s">
        <v>2077</v>
      </c>
      <c r="P922">
        <v>0.7</v>
      </c>
      <c r="Q922" s="2">
        <v>0.7</v>
      </c>
      <c r="S922" s="5">
        <v>9.3333333333333306E-3</v>
      </c>
    </row>
    <row r="923" spans="1:19" x14ac:dyDescent="0.3">
      <c r="A923" t="s">
        <v>1904</v>
      </c>
      <c r="B923" t="s">
        <v>1905</v>
      </c>
      <c r="C923" t="s">
        <v>76</v>
      </c>
      <c r="D923" t="s">
        <v>80</v>
      </c>
      <c r="E923">
        <v>44</v>
      </c>
      <c r="F923" t="s">
        <v>42</v>
      </c>
      <c r="G923" t="s">
        <v>43</v>
      </c>
      <c r="H923" t="s">
        <v>60</v>
      </c>
      <c r="I923">
        <v>22</v>
      </c>
      <c r="J923" s="1">
        <v>30</v>
      </c>
      <c r="K923" t="s">
        <v>2069</v>
      </c>
      <c r="M923">
        <v>4.0999999999999996</v>
      </c>
      <c r="N923" t="s">
        <v>96</v>
      </c>
      <c r="O923" t="s">
        <v>2076</v>
      </c>
    </row>
    <row r="924" spans="1:19" x14ac:dyDescent="0.3">
      <c r="A924" t="s">
        <v>1906</v>
      </c>
      <c r="B924" t="s">
        <v>1907</v>
      </c>
      <c r="C924" t="s">
        <v>76</v>
      </c>
      <c r="D924" t="s">
        <v>80</v>
      </c>
      <c r="E924">
        <v>42</v>
      </c>
      <c r="F924" t="s">
        <v>37</v>
      </c>
      <c r="G924" t="s">
        <v>38</v>
      </c>
      <c r="H924" t="s">
        <v>52</v>
      </c>
      <c r="I924">
        <v>20</v>
      </c>
      <c r="J924" s="1">
        <v>50</v>
      </c>
      <c r="K924" t="s">
        <v>2068</v>
      </c>
      <c r="L924" t="s">
        <v>2071</v>
      </c>
      <c r="M924">
        <v>3.8</v>
      </c>
      <c r="N924" t="s">
        <v>53</v>
      </c>
      <c r="O924" t="s">
        <v>2077</v>
      </c>
      <c r="P924">
        <v>0.93</v>
      </c>
      <c r="Q924" s="2">
        <v>0.93</v>
      </c>
      <c r="S924" s="5">
        <v>1.8599999999999998E-2</v>
      </c>
    </row>
    <row r="925" spans="1:19" x14ac:dyDescent="0.3">
      <c r="A925" t="s">
        <v>1908</v>
      </c>
      <c r="B925" t="s">
        <v>1909</v>
      </c>
      <c r="C925" t="s">
        <v>111</v>
      </c>
      <c r="D925" t="s">
        <v>80</v>
      </c>
      <c r="E925">
        <v>40</v>
      </c>
      <c r="F925" t="s">
        <v>87</v>
      </c>
      <c r="G925" t="s">
        <v>88</v>
      </c>
      <c r="H925" t="s">
        <v>39</v>
      </c>
      <c r="I925">
        <v>11</v>
      </c>
      <c r="J925" s="1">
        <v>20</v>
      </c>
      <c r="K925" t="s">
        <v>2065</v>
      </c>
      <c r="L925" t="s">
        <v>2072</v>
      </c>
      <c r="M925">
        <v>1.8</v>
      </c>
      <c r="N925">
        <v>1</v>
      </c>
      <c r="O925" t="s">
        <v>2076</v>
      </c>
      <c r="P925">
        <v>0.9</v>
      </c>
      <c r="Q925" s="2">
        <v>0.9</v>
      </c>
      <c r="S925" s="5">
        <v>4.4999999999999998E-2</v>
      </c>
    </row>
    <row r="926" spans="1:19" x14ac:dyDescent="0.3">
      <c r="A926" t="s">
        <v>1910</v>
      </c>
      <c r="B926" t="s">
        <v>1911</v>
      </c>
      <c r="C926" t="s">
        <v>111</v>
      </c>
      <c r="D926" t="s">
        <v>80</v>
      </c>
      <c r="E926">
        <v>22</v>
      </c>
      <c r="F926" t="s">
        <v>77</v>
      </c>
      <c r="G926" t="s">
        <v>78</v>
      </c>
      <c r="H926" t="s">
        <v>33</v>
      </c>
      <c r="I926">
        <v>1</v>
      </c>
      <c r="J926" s="1">
        <v>30</v>
      </c>
      <c r="K926" t="s">
        <v>2068</v>
      </c>
      <c r="L926" t="s">
        <v>2069</v>
      </c>
      <c r="M926">
        <v>3.3</v>
      </c>
      <c r="N926">
        <v>1</v>
      </c>
      <c r="O926" t="s">
        <v>2076</v>
      </c>
      <c r="P926">
        <v>0.61</v>
      </c>
      <c r="Q926" s="2">
        <v>0.61</v>
      </c>
      <c r="S926" s="5">
        <v>2.0333333333333301E-2</v>
      </c>
    </row>
    <row r="927" spans="1:19" x14ac:dyDescent="0.3">
      <c r="A927" t="s">
        <v>1912</v>
      </c>
      <c r="B927" t="s">
        <v>1913</v>
      </c>
      <c r="C927" t="s">
        <v>76</v>
      </c>
      <c r="D927" t="s">
        <v>80</v>
      </c>
      <c r="E927">
        <v>32</v>
      </c>
      <c r="F927" t="s">
        <v>27</v>
      </c>
      <c r="G927" t="s">
        <v>28</v>
      </c>
      <c r="H927" t="s">
        <v>33</v>
      </c>
      <c r="I927">
        <v>9</v>
      </c>
      <c r="J927" s="1">
        <v>75</v>
      </c>
      <c r="K927" t="s">
        <v>2066</v>
      </c>
      <c r="N927" t="s">
        <v>53</v>
      </c>
      <c r="O927" t="s">
        <v>2077</v>
      </c>
      <c r="P927">
        <v>0.96</v>
      </c>
      <c r="Q927" s="2">
        <v>0.96</v>
      </c>
      <c r="S927" s="5">
        <v>1.2800000000000001E-2</v>
      </c>
    </row>
    <row r="928" spans="1:19" x14ac:dyDescent="0.3">
      <c r="A928" t="s">
        <v>1914</v>
      </c>
      <c r="B928" t="s">
        <v>1915</v>
      </c>
      <c r="C928" t="s">
        <v>76</v>
      </c>
      <c r="D928" t="s">
        <v>80</v>
      </c>
      <c r="E928">
        <v>53</v>
      </c>
      <c r="F928" t="s">
        <v>139</v>
      </c>
      <c r="G928" t="s">
        <v>59</v>
      </c>
      <c r="H928" t="s">
        <v>52</v>
      </c>
      <c r="I928">
        <v>33</v>
      </c>
      <c r="J928" s="1">
        <v>100</v>
      </c>
      <c r="K928" t="s">
        <v>2065</v>
      </c>
      <c r="L928" t="s">
        <v>2070</v>
      </c>
      <c r="N928" t="s">
        <v>67</v>
      </c>
      <c r="O928" t="s">
        <v>2077</v>
      </c>
      <c r="P928">
        <v>0.75</v>
      </c>
      <c r="Q928" s="2">
        <v>0.75</v>
      </c>
      <c r="S928" s="5">
        <v>7.4999999999999997E-3</v>
      </c>
    </row>
    <row r="929" spans="1:19" x14ac:dyDescent="0.3">
      <c r="A929" t="s">
        <v>1916</v>
      </c>
      <c r="B929" t="s">
        <v>1917</v>
      </c>
      <c r="C929" t="s">
        <v>76</v>
      </c>
      <c r="D929" t="s">
        <v>80</v>
      </c>
      <c r="E929">
        <v>57</v>
      </c>
      <c r="F929" t="s">
        <v>87</v>
      </c>
      <c r="G929" t="s">
        <v>88</v>
      </c>
      <c r="H929" t="s">
        <v>63</v>
      </c>
      <c r="I929">
        <v>4</v>
      </c>
      <c r="J929" s="1">
        <v>40</v>
      </c>
      <c r="K929" t="s">
        <v>2068</v>
      </c>
      <c r="L929" t="s">
        <v>2067</v>
      </c>
      <c r="M929">
        <v>3.4</v>
      </c>
      <c r="N929">
        <v>1</v>
      </c>
      <c r="O929" t="s">
        <v>2076</v>
      </c>
      <c r="P929">
        <v>0.68</v>
      </c>
      <c r="Q929" s="2">
        <v>0.68</v>
      </c>
      <c r="S929" s="5">
        <v>1.7000000000000001E-2</v>
      </c>
    </row>
    <row r="930" spans="1:19" x14ac:dyDescent="0.3">
      <c r="A930" t="s">
        <v>1918</v>
      </c>
      <c r="B930" t="s">
        <v>1919</v>
      </c>
      <c r="C930" t="s">
        <v>111</v>
      </c>
      <c r="D930" t="s">
        <v>80</v>
      </c>
      <c r="E930">
        <v>51</v>
      </c>
      <c r="F930" t="s">
        <v>139</v>
      </c>
      <c r="G930" t="s">
        <v>59</v>
      </c>
      <c r="H930" t="s">
        <v>18</v>
      </c>
      <c r="I930">
        <v>25</v>
      </c>
      <c r="J930" s="1">
        <v>50</v>
      </c>
      <c r="K930" t="s">
        <v>2071</v>
      </c>
      <c r="M930">
        <v>1.4</v>
      </c>
      <c r="N930" t="s">
        <v>96</v>
      </c>
      <c r="O930" t="s">
        <v>2076</v>
      </c>
      <c r="P930">
        <v>0.6</v>
      </c>
      <c r="Q930" s="2">
        <v>0.6</v>
      </c>
      <c r="S930" s="5">
        <v>1.2E-2</v>
      </c>
    </row>
    <row r="931" spans="1:19" x14ac:dyDescent="0.3">
      <c r="A931" t="s">
        <v>1920</v>
      </c>
      <c r="B931" t="s">
        <v>1921</v>
      </c>
      <c r="C931" t="s">
        <v>36</v>
      </c>
      <c r="D931" t="s">
        <v>20</v>
      </c>
      <c r="E931">
        <v>35</v>
      </c>
      <c r="F931" t="s">
        <v>254</v>
      </c>
      <c r="G931" t="s">
        <v>255</v>
      </c>
      <c r="H931" t="s">
        <v>63</v>
      </c>
      <c r="I931">
        <v>16</v>
      </c>
      <c r="M931">
        <v>1.3</v>
      </c>
      <c r="N931">
        <v>1</v>
      </c>
      <c r="O931" t="s">
        <v>2076</v>
      </c>
      <c r="P931">
        <v>0.64</v>
      </c>
      <c r="Q931" s="2">
        <v>0.64</v>
      </c>
    </row>
    <row r="932" spans="1:19" x14ac:dyDescent="0.3">
      <c r="A932" t="s">
        <v>1922</v>
      </c>
      <c r="B932" t="s">
        <v>1923</v>
      </c>
      <c r="C932" t="s">
        <v>15</v>
      </c>
      <c r="D932" t="s">
        <v>20</v>
      </c>
      <c r="E932">
        <v>22</v>
      </c>
      <c r="F932" t="s">
        <v>23</v>
      </c>
      <c r="G932" t="s">
        <v>24</v>
      </c>
      <c r="H932" t="s">
        <v>108</v>
      </c>
      <c r="I932">
        <v>0</v>
      </c>
      <c r="M932">
        <v>4.5999999999999996</v>
      </c>
      <c r="N932" t="b">
        <v>0</v>
      </c>
      <c r="O932" t="s">
        <v>2077</v>
      </c>
    </row>
    <row r="933" spans="1:19" x14ac:dyDescent="0.3">
      <c r="A933" t="s">
        <v>1924</v>
      </c>
      <c r="B933" t="s">
        <v>1925</v>
      </c>
      <c r="C933" t="s">
        <v>15</v>
      </c>
      <c r="D933" t="s">
        <v>20</v>
      </c>
      <c r="E933">
        <v>60</v>
      </c>
      <c r="F933" t="s">
        <v>188</v>
      </c>
      <c r="G933" t="s">
        <v>189</v>
      </c>
      <c r="H933" t="s">
        <v>60</v>
      </c>
      <c r="I933">
        <v>39</v>
      </c>
      <c r="J933" s="1">
        <v>75</v>
      </c>
      <c r="K933" t="s">
        <v>2066</v>
      </c>
      <c r="M933">
        <v>1.4</v>
      </c>
      <c r="N933" t="s">
        <v>67</v>
      </c>
      <c r="O933" t="s">
        <v>2077</v>
      </c>
      <c r="P933">
        <v>0.7</v>
      </c>
      <c r="Q933" s="2">
        <v>0.7</v>
      </c>
      <c r="S933" s="5">
        <v>9.3333333333333306E-3</v>
      </c>
    </row>
    <row r="934" spans="1:19" x14ac:dyDescent="0.3">
      <c r="A934" t="s">
        <v>1926</v>
      </c>
      <c r="B934" t="s">
        <v>1927</v>
      </c>
      <c r="C934" t="s">
        <v>36</v>
      </c>
      <c r="D934" t="s">
        <v>20</v>
      </c>
      <c r="F934" t="s">
        <v>155</v>
      </c>
      <c r="G934" t="s">
        <v>17</v>
      </c>
      <c r="H934" t="s">
        <v>108</v>
      </c>
      <c r="I934">
        <v>1</v>
      </c>
      <c r="J934" s="1">
        <v>75</v>
      </c>
      <c r="K934" t="s">
        <v>2066</v>
      </c>
      <c r="M934">
        <v>0</v>
      </c>
      <c r="N934" t="b">
        <v>1</v>
      </c>
      <c r="O934" t="s">
        <v>2076</v>
      </c>
      <c r="P934">
        <v>0.94</v>
      </c>
      <c r="Q934" s="2">
        <v>0.94</v>
      </c>
      <c r="S934" s="5">
        <v>1.2533333333333301E-2</v>
      </c>
    </row>
    <row r="935" spans="1:19" x14ac:dyDescent="0.3">
      <c r="A935" t="s">
        <v>1928</v>
      </c>
      <c r="B935" t="s">
        <v>1929</v>
      </c>
      <c r="C935" t="s">
        <v>36</v>
      </c>
      <c r="D935" t="s">
        <v>20</v>
      </c>
      <c r="E935">
        <v>34</v>
      </c>
      <c r="F935" t="s">
        <v>104</v>
      </c>
      <c r="G935" t="s">
        <v>105</v>
      </c>
      <c r="H935" t="s">
        <v>33</v>
      </c>
      <c r="I935">
        <v>6</v>
      </c>
      <c r="J935" s="1">
        <v>100</v>
      </c>
      <c r="K935" t="s">
        <v>2065</v>
      </c>
      <c r="L935" t="s">
        <v>2070</v>
      </c>
      <c r="M935">
        <v>2</v>
      </c>
      <c r="N935" t="s">
        <v>67</v>
      </c>
      <c r="O935" t="s">
        <v>2077</v>
      </c>
    </row>
    <row r="936" spans="1:19" x14ac:dyDescent="0.3">
      <c r="A936" t="s">
        <v>1930</v>
      </c>
      <c r="B936" t="s">
        <v>1931</v>
      </c>
      <c r="C936" t="s">
        <v>15</v>
      </c>
      <c r="D936" t="s">
        <v>20</v>
      </c>
      <c r="E936">
        <v>22</v>
      </c>
      <c r="F936" t="s">
        <v>16</v>
      </c>
      <c r="G936" t="s">
        <v>17</v>
      </c>
      <c r="H936" t="s">
        <v>18</v>
      </c>
      <c r="I936">
        <v>0</v>
      </c>
      <c r="J936" s="1">
        <v>30</v>
      </c>
      <c r="K936" t="s">
        <v>2065</v>
      </c>
      <c r="L936" t="s">
        <v>2069</v>
      </c>
      <c r="M936">
        <v>0</v>
      </c>
      <c r="N936">
        <v>0</v>
      </c>
      <c r="O936" t="s">
        <v>2077</v>
      </c>
      <c r="P936">
        <v>0.87</v>
      </c>
      <c r="Q936" s="2">
        <v>0.87</v>
      </c>
      <c r="S936" s="5">
        <v>2.9000000000000001E-2</v>
      </c>
    </row>
    <row r="937" spans="1:19" x14ac:dyDescent="0.3">
      <c r="A937" t="s">
        <v>1932</v>
      </c>
      <c r="B937" t="s">
        <v>1933</v>
      </c>
      <c r="C937" t="s">
        <v>36</v>
      </c>
      <c r="D937" t="s">
        <v>20</v>
      </c>
      <c r="E937">
        <v>60</v>
      </c>
      <c r="F937" t="s">
        <v>254</v>
      </c>
      <c r="G937" t="s">
        <v>255</v>
      </c>
      <c r="H937" t="s">
        <v>66</v>
      </c>
      <c r="I937">
        <v>13</v>
      </c>
      <c r="J937" s="1">
        <v>50</v>
      </c>
      <c r="K937" t="s">
        <v>2068</v>
      </c>
      <c r="L937" t="s">
        <v>2071</v>
      </c>
      <c r="M937">
        <v>1</v>
      </c>
      <c r="N937" t="b">
        <v>0</v>
      </c>
      <c r="O937" t="s">
        <v>2077</v>
      </c>
    </row>
    <row r="938" spans="1:19" x14ac:dyDescent="0.3">
      <c r="A938" t="s">
        <v>1934</v>
      </c>
      <c r="B938" t="s">
        <v>1935</v>
      </c>
      <c r="C938" t="s">
        <v>36</v>
      </c>
      <c r="D938" t="s">
        <v>20</v>
      </c>
      <c r="E938">
        <v>27</v>
      </c>
      <c r="F938" t="s">
        <v>118</v>
      </c>
      <c r="G938" t="s">
        <v>119</v>
      </c>
      <c r="H938" t="s">
        <v>39</v>
      </c>
      <c r="I938">
        <v>9</v>
      </c>
      <c r="J938" s="1">
        <v>100</v>
      </c>
      <c r="K938" t="s">
        <v>2065</v>
      </c>
      <c r="L938" t="s">
        <v>2070</v>
      </c>
      <c r="N938" t="b">
        <v>1</v>
      </c>
      <c r="O938" t="s">
        <v>2076</v>
      </c>
    </row>
    <row r="939" spans="1:19" x14ac:dyDescent="0.3">
      <c r="A939" t="s">
        <v>1936</v>
      </c>
      <c r="B939" t="s">
        <v>1937</v>
      </c>
      <c r="C939" t="s">
        <v>15</v>
      </c>
      <c r="D939" t="s">
        <v>20</v>
      </c>
      <c r="E939">
        <v>36</v>
      </c>
      <c r="F939" t="s">
        <v>188</v>
      </c>
      <c r="G939" t="s">
        <v>189</v>
      </c>
      <c r="H939" t="s">
        <v>33</v>
      </c>
      <c r="I939">
        <v>9</v>
      </c>
      <c r="J939" s="1">
        <v>75</v>
      </c>
      <c r="K939" t="s">
        <v>2066</v>
      </c>
      <c r="M939">
        <v>2.2000000000000002</v>
      </c>
      <c r="N939">
        <v>0</v>
      </c>
      <c r="O939" t="s">
        <v>2077</v>
      </c>
      <c r="P939">
        <v>0.95</v>
      </c>
      <c r="Q939" s="2">
        <v>0.95</v>
      </c>
      <c r="S939" s="5">
        <v>1.2666666666666699E-2</v>
      </c>
    </row>
    <row r="940" spans="1:19" x14ac:dyDescent="0.3">
      <c r="A940" t="s">
        <v>1938</v>
      </c>
      <c r="B940" t="s">
        <v>1939</v>
      </c>
      <c r="C940" t="s">
        <v>36</v>
      </c>
      <c r="D940" t="s">
        <v>20</v>
      </c>
      <c r="E940">
        <v>35</v>
      </c>
      <c r="F940" t="s">
        <v>23</v>
      </c>
      <c r="G940" t="s">
        <v>24</v>
      </c>
      <c r="H940" t="s">
        <v>52</v>
      </c>
      <c r="I940">
        <v>0</v>
      </c>
      <c r="M940">
        <v>2</v>
      </c>
      <c r="N940">
        <v>1</v>
      </c>
      <c r="O940" t="s">
        <v>2076</v>
      </c>
      <c r="P940">
        <v>0.64</v>
      </c>
      <c r="Q940" s="2">
        <v>0.64</v>
      </c>
    </row>
    <row r="941" spans="1:19" x14ac:dyDescent="0.3">
      <c r="A941" t="s">
        <v>1940</v>
      </c>
      <c r="B941" t="s">
        <v>1941</v>
      </c>
      <c r="C941" t="s">
        <v>36</v>
      </c>
      <c r="D941" t="s">
        <v>20</v>
      </c>
      <c r="E941">
        <v>20</v>
      </c>
      <c r="F941" t="s">
        <v>91</v>
      </c>
      <c r="G941" t="s">
        <v>59</v>
      </c>
      <c r="H941" t="s">
        <v>66</v>
      </c>
      <c r="J941" s="1">
        <v>75</v>
      </c>
      <c r="K941" t="s">
        <v>2065</v>
      </c>
      <c r="L941" t="s">
        <v>2066</v>
      </c>
      <c r="M941">
        <v>4.3</v>
      </c>
      <c r="N941">
        <v>0</v>
      </c>
      <c r="O941" t="s">
        <v>2077</v>
      </c>
      <c r="P941">
        <v>0.9</v>
      </c>
      <c r="Q941" s="2">
        <v>0.9</v>
      </c>
      <c r="S941" s="5">
        <v>1.2E-2</v>
      </c>
    </row>
    <row r="942" spans="1:19" x14ac:dyDescent="0.3">
      <c r="A942" t="s">
        <v>1942</v>
      </c>
      <c r="B942" t="s">
        <v>1943</v>
      </c>
      <c r="C942" t="s">
        <v>15</v>
      </c>
      <c r="D942" t="s">
        <v>20</v>
      </c>
      <c r="E942">
        <v>50</v>
      </c>
      <c r="F942" t="s">
        <v>188</v>
      </c>
      <c r="G942" t="s">
        <v>189</v>
      </c>
      <c r="H942" t="s">
        <v>63</v>
      </c>
      <c r="I942">
        <v>13</v>
      </c>
      <c r="M942">
        <v>2.5</v>
      </c>
      <c r="N942" t="s">
        <v>96</v>
      </c>
      <c r="O942" t="s">
        <v>2076</v>
      </c>
      <c r="P942">
        <v>0.81</v>
      </c>
      <c r="Q942" s="2">
        <v>0.81</v>
      </c>
    </row>
    <row r="943" spans="1:19" x14ac:dyDescent="0.3">
      <c r="A943" t="s">
        <v>1944</v>
      </c>
      <c r="B943" t="s">
        <v>1945</v>
      </c>
      <c r="C943" t="s">
        <v>76</v>
      </c>
      <c r="D943" t="s">
        <v>80</v>
      </c>
      <c r="E943">
        <v>27</v>
      </c>
      <c r="F943" t="s">
        <v>87</v>
      </c>
      <c r="G943" t="s">
        <v>88</v>
      </c>
      <c r="H943" t="s">
        <v>33</v>
      </c>
      <c r="I943">
        <v>1</v>
      </c>
      <c r="J943" s="1">
        <v>30</v>
      </c>
      <c r="K943" t="s">
        <v>2069</v>
      </c>
      <c r="M943">
        <v>1.7</v>
      </c>
      <c r="N943" t="b">
        <v>0</v>
      </c>
      <c r="O943" t="s">
        <v>2077</v>
      </c>
      <c r="P943">
        <v>0.65</v>
      </c>
      <c r="Q943" s="2">
        <v>0.65</v>
      </c>
      <c r="S943" s="5">
        <v>2.1666666666666699E-2</v>
      </c>
    </row>
    <row r="944" spans="1:19" x14ac:dyDescent="0.3">
      <c r="A944" t="s">
        <v>1946</v>
      </c>
      <c r="B944" t="s">
        <v>1947</v>
      </c>
      <c r="C944" t="s">
        <v>76</v>
      </c>
      <c r="D944" t="s">
        <v>80</v>
      </c>
      <c r="E944">
        <v>22</v>
      </c>
      <c r="F944" t="s">
        <v>139</v>
      </c>
      <c r="G944" t="s">
        <v>59</v>
      </c>
      <c r="H944" t="s">
        <v>60</v>
      </c>
      <c r="I944">
        <v>1</v>
      </c>
      <c r="J944" s="1">
        <v>20</v>
      </c>
      <c r="K944" t="s">
        <v>2072</v>
      </c>
      <c r="M944">
        <v>4.8</v>
      </c>
      <c r="N944" t="b">
        <v>0</v>
      </c>
      <c r="O944" t="s">
        <v>2077</v>
      </c>
      <c r="P944">
        <v>0.87</v>
      </c>
      <c r="Q944" s="2">
        <v>0.87</v>
      </c>
      <c r="S944" s="5">
        <v>4.3499999999999997E-2</v>
      </c>
    </row>
    <row r="945" spans="1:19" x14ac:dyDescent="0.3">
      <c r="A945" t="s">
        <v>1948</v>
      </c>
      <c r="B945" t="s">
        <v>1949</v>
      </c>
      <c r="C945" t="s">
        <v>15</v>
      </c>
      <c r="D945" t="s">
        <v>20</v>
      </c>
      <c r="E945">
        <v>53</v>
      </c>
      <c r="F945" t="s">
        <v>42</v>
      </c>
      <c r="G945" t="s">
        <v>43</v>
      </c>
      <c r="H945" t="s">
        <v>47</v>
      </c>
      <c r="I945">
        <v>27</v>
      </c>
      <c r="J945" s="1">
        <v>100</v>
      </c>
      <c r="K945" t="s">
        <v>2070</v>
      </c>
      <c r="M945">
        <v>3.7</v>
      </c>
      <c r="N945" t="s">
        <v>67</v>
      </c>
      <c r="O945" t="s">
        <v>2077</v>
      </c>
      <c r="P945">
        <v>0.73</v>
      </c>
      <c r="Q945" s="2">
        <v>0.73</v>
      </c>
      <c r="S945" s="5">
        <v>7.3000000000000001E-3</v>
      </c>
    </row>
    <row r="946" spans="1:19" x14ac:dyDescent="0.3">
      <c r="A946" t="s">
        <v>1950</v>
      </c>
      <c r="B946" t="s">
        <v>1951</v>
      </c>
      <c r="C946" t="s">
        <v>36</v>
      </c>
      <c r="D946" t="s">
        <v>20</v>
      </c>
      <c r="E946">
        <v>34</v>
      </c>
      <c r="F946" t="s">
        <v>23</v>
      </c>
      <c r="G946" t="s">
        <v>24</v>
      </c>
      <c r="H946" t="s">
        <v>33</v>
      </c>
      <c r="I946">
        <v>0</v>
      </c>
      <c r="J946" s="1">
        <v>40</v>
      </c>
      <c r="K946" t="s">
        <v>2067</v>
      </c>
      <c r="M946">
        <v>3.3</v>
      </c>
      <c r="N946">
        <v>0</v>
      </c>
      <c r="O946" t="s">
        <v>2077</v>
      </c>
      <c r="P946">
        <v>0.98</v>
      </c>
      <c r="Q946" s="2">
        <v>0.98</v>
      </c>
      <c r="S946" s="5">
        <v>2.4500000000000001E-2</v>
      </c>
    </row>
    <row r="947" spans="1:19" x14ac:dyDescent="0.3">
      <c r="A947" t="s">
        <v>1952</v>
      </c>
      <c r="B947" t="s">
        <v>1953</v>
      </c>
      <c r="C947" t="s">
        <v>15</v>
      </c>
      <c r="D947" t="s">
        <v>20</v>
      </c>
      <c r="E947">
        <v>38</v>
      </c>
      <c r="F947" t="s">
        <v>83</v>
      </c>
      <c r="G947" t="s">
        <v>84</v>
      </c>
      <c r="H947" t="s">
        <v>47</v>
      </c>
      <c r="I947">
        <v>19</v>
      </c>
      <c r="J947" s="1">
        <v>100</v>
      </c>
      <c r="K947" t="s">
        <v>2068</v>
      </c>
      <c r="L947" t="s">
        <v>2070</v>
      </c>
      <c r="M947">
        <v>4.2</v>
      </c>
      <c r="N947" t="s">
        <v>53</v>
      </c>
      <c r="O947" t="s">
        <v>2077</v>
      </c>
      <c r="P947">
        <v>0.68</v>
      </c>
      <c r="Q947" s="2">
        <v>0.68</v>
      </c>
      <c r="S947" s="5">
        <v>6.7999999999999996E-3</v>
      </c>
    </row>
    <row r="948" spans="1:19" x14ac:dyDescent="0.3">
      <c r="A948" t="s">
        <v>1954</v>
      </c>
      <c r="B948" t="s">
        <v>1955</v>
      </c>
      <c r="C948" t="s">
        <v>15</v>
      </c>
      <c r="D948" t="s">
        <v>20</v>
      </c>
      <c r="E948">
        <v>59</v>
      </c>
      <c r="F948" t="s">
        <v>101</v>
      </c>
      <c r="G948" t="s">
        <v>59</v>
      </c>
      <c r="H948" t="s">
        <v>108</v>
      </c>
      <c r="I948">
        <v>9</v>
      </c>
      <c r="J948" s="1">
        <v>75</v>
      </c>
      <c r="K948" t="s">
        <v>2068</v>
      </c>
      <c r="L948" t="s">
        <v>2066</v>
      </c>
      <c r="M948">
        <v>4</v>
      </c>
      <c r="N948">
        <v>1</v>
      </c>
      <c r="O948" t="s">
        <v>2076</v>
      </c>
      <c r="P948">
        <v>96</v>
      </c>
      <c r="Q948" s="2">
        <v>0.96</v>
      </c>
      <c r="R948">
        <v>0.96</v>
      </c>
      <c r="S948" s="5">
        <v>1.2800000000000001E-2</v>
      </c>
    </row>
    <row r="949" spans="1:19" x14ac:dyDescent="0.3">
      <c r="A949" t="s">
        <v>1956</v>
      </c>
      <c r="B949" t="s">
        <v>1957</v>
      </c>
      <c r="C949" t="s">
        <v>15</v>
      </c>
      <c r="D949" t="s">
        <v>20</v>
      </c>
      <c r="E949">
        <v>43</v>
      </c>
      <c r="F949" t="s">
        <v>77</v>
      </c>
      <c r="G949" t="s">
        <v>78</v>
      </c>
      <c r="H949" t="s">
        <v>108</v>
      </c>
      <c r="J949" s="1">
        <v>20</v>
      </c>
      <c r="K949" t="s">
        <v>2068</v>
      </c>
      <c r="L949" t="s">
        <v>2072</v>
      </c>
      <c r="M949">
        <v>2.8</v>
      </c>
      <c r="P949">
        <v>0.99</v>
      </c>
      <c r="Q949" s="2">
        <v>0.99</v>
      </c>
      <c r="S949" s="5">
        <v>4.9500000000000002E-2</v>
      </c>
    </row>
    <row r="950" spans="1:19" x14ac:dyDescent="0.3">
      <c r="A950" t="s">
        <v>1958</v>
      </c>
      <c r="B950" t="s">
        <v>1959</v>
      </c>
      <c r="C950" t="s">
        <v>111</v>
      </c>
      <c r="D950" t="s">
        <v>80</v>
      </c>
      <c r="E950">
        <v>38</v>
      </c>
      <c r="F950" t="s">
        <v>37</v>
      </c>
      <c r="G950" t="s">
        <v>38</v>
      </c>
      <c r="H950" t="s">
        <v>52</v>
      </c>
      <c r="I950">
        <v>8</v>
      </c>
      <c r="J950" s="1">
        <v>30</v>
      </c>
      <c r="K950" t="s">
        <v>2069</v>
      </c>
      <c r="M950">
        <v>4</v>
      </c>
      <c r="N950">
        <v>1</v>
      </c>
      <c r="O950" t="s">
        <v>2076</v>
      </c>
      <c r="P950">
        <v>0.92</v>
      </c>
      <c r="Q950" s="2">
        <v>0.92</v>
      </c>
      <c r="S950" s="5">
        <v>3.06666666666667E-2</v>
      </c>
    </row>
    <row r="951" spans="1:19" x14ac:dyDescent="0.3">
      <c r="A951" t="s">
        <v>1960</v>
      </c>
      <c r="B951" t="s">
        <v>1961</v>
      </c>
      <c r="C951" t="s">
        <v>76</v>
      </c>
      <c r="D951" t="s">
        <v>80</v>
      </c>
      <c r="E951">
        <v>56</v>
      </c>
      <c r="F951" t="s">
        <v>16</v>
      </c>
      <c r="G951" t="s">
        <v>17</v>
      </c>
      <c r="H951" t="s">
        <v>66</v>
      </c>
      <c r="I951">
        <v>17</v>
      </c>
      <c r="M951">
        <v>1.3</v>
      </c>
      <c r="P951">
        <v>0.87</v>
      </c>
      <c r="Q951" s="2">
        <v>0.87</v>
      </c>
    </row>
    <row r="952" spans="1:19" x14ac:dyDescent="0.3">
      <c r="A952" t="s">
        <v>1962</v>
      </c>
      <c r="B952" t="s">
        <v>1963</v>
      </c>
      <c r="C952" t="s">
        <v>36</v>
      </c>
      <c r="D952" t="s">
        <v>20</v>
      </c>
      <c r="E952">
        <v>44</v>
      </c>
      <c r="F952" t="s">
        <v>104</v>
      </c>
      <c r="G952" t="s">
        <v>105</v>
      </c>
      <c r="H952" t="s">
        <v>47</v>
      </c>
      <c r="I952">
        <v>4</v>
      </c>
      <c r="M952">
        <v>1.3</v>
      </c>
      <c r="N952" t="s">
        <v>19</v>
      </c>
      <c r="O952" t="s">
        <v>2076</v>
      </c>
      <c r="P952">
        <v>77</v>
      </c>
      <c r="Q952" s="2">
        <v>0.77</v>
      </c>
      <c r="R952">
        <v>0.77</v>
      </c>
    </row>
    <row r="953" spans="1:19" x14ac:dyDescent="0.3">
      <c r="A953" t="s">
        <v>1964</v>
      </c>
      <c r="B953" t="s">
        <v>1965</v>
      </c>
      <c r="C953" t="s">
        <v>15</v>
      </c>
      <c r="D953" t="s">
        <v>20</v>
      </c>
      <c r="E953">
        <v>53</v>
      </c>
      <c r="F953" t="s">
        <v>101</v>
      </c>
      <c r="G953" t="s">
        <v>59</v>
      </c>
      <c r="H953" t="s">
        <v>63</v>
      </c>
      <c r="I953">
        <v>9</v>
      </c>
      <c r="J953" s="1">
        <v>50</v>
      </c>
      <c r="K953" t="s">
        <v>2071</v>
      </c>
      <c r="M953">
        <v>4</v>
      </c>
      <c r="N953" t="s">
        <v>96</v>
      </c>
      <c r="O953" t="s">
        <v>2076</v>
      </c>
      <c r="P953">
        <v>0.72</v>
      </c>
      <c r="Q953" s="2">
        <v>0.72</v>
      </c>
      <c r="S953" s="5">
        <v>1.44E-2</v>
      </c>
    </row>
    <row r="954" spans="1:19" x14ac:dyDescent="0.3">
      <c r="A954" t="s">
        <v>1966</v>
      </c>
      <c r="B954" t="s">
        <v>1967</v>
      </c>
      <c r="C954" t="s">
        <v>36</v>
      </c>
      <c r="D954" t="s">
        <v>20</v>
      </c>
      <c r="E954">
        <v>55</v>
      </c>
      <c r="F954" t="s">
        <v>91</v>
      </c>
      <c r="G954" t="s">
        <v>59</v>
      </c>
      <c r="H954" t="s">
        <v>63</v>
      </c>
      <c r="I954">
        <v>10</v>
      </c>
      <c r="J954" s="1">
        <v>40</v>
      </c>
      <c r="K954" t="s">
        <v>2067</v>
      </c>
      <c r="M954">
        <v>2</v>
      </c>
      <c r="N954" t="s">
        <v>67</v>
      </c>
      <c r="O954" t="s">
        <v>2077</v>
      </c>
      <c r="P954">
        <v>0.85</v>
      </c>
      <c r="Q954" s="2">
        <v>0.85</v>
      </c>
      <c r="S954" s="5">
        <v>2.1250000000000002E-2</v>
      </c>
    </row>
    <row r="955" spans="1:19" x14ac:dyDescent="0.3">
      <c r="A955" t="s">
        <v>1968</v>
      </c>
      <c r="B955" t="s">
        <v>1969</v>
      </c>
      <c r="C955" t="s">
        <v>76</v>
      </c>
      <c r="D955" t="s">
        <v>80</v>
      </c>
      <c r="E955">
        <v>57</v>
      </c>
      <c r="F955" t="s">
        <v>58</v>
      </c>
      <c r="G955" t="s">
        <v>59</v>
      </c>
      <c r="H955" t="s">
        <v>66</v>
      </c>
      <c r="I955">
        <v>11</v>
      </c>
      <c r="J955" s="1">
        <v>75</v>
      </c>
      <c r="K955" t="s">
        <v>2068</v>
      </c>
      <c r="L955" t="s">
        <v>2066</v>
      </c>
      <c r="M955">
        <v>2.2999999999999998</v>
      </c>
      <c r="N955">
        <v>0</v>
      </c>
      <c r="O955" t="s">
        <v>2077</v>
      </c>
    </row>
    <row r="956" spans="1:19" x14ac:dyDescent="0.3">
      <c r="A956" t="s">
        <v>1970</v>
      </c>
      <c r="B956" t="s">
        <v>1971</v>
      </c>
      <c r="C956" t="s">
        <v>36</v>
      </c>
      <c r="D956" t="s">
        <v>20</v>
      </c>
      <c r="E956">
        <v>28</v>
      </c>
      <c r="F956" t="s">
        <v>42</v>
      </c>
      <c r="G956" t="s">
        <v>43</v>
      </c>
      <c r="H956" t="s">
        <v>63</v>
      </c>
      <c r="I956">
        <v>7</v>
      </c>
      <c r="J956" s="1">
        <v>100</v>
      </c>
      <c r="K956" t="s">
        <v>2065</v>
      </c>
      <c r="L956" t="s">
        <v>2070</v>
      </c>
      <c r="M956">
        <v>4.3</v>
      </c>
      <c r="N956" t="b">
        <v>0</v>
      </c>
      <c r="O956" t="s">
        <v>2077</v>
      </c>
      <c r="P956">
        <v>0.76</v>
      </c>
      <c r="Q956" s="2">
        <v>0.76</v>
      </c>
      <c r="S956" s="5">
        <v>7.6E-3</v>
      </c>
    </row>
    <row r="957" spans="1:19" x14ac:dyDescent="0.3">
      <c r="A957" t="s">
        <v>1972</v>
      </c>
      <c r="B957" t="s">
        <v>1973</v>
      </c>
      <c r="C957" t="s">
        <v>15</v>
      </c>
      <c r="D957" t="s">
        <v>20</v>
      </c>
      <c r="E957">
        <v>47</v>
      </c>
      <c r="F957" t="s">
        <v>42</v>
      </c>
      <c r="G957" t="s">
        <v>43</v>
      </c>
      <c r="H957" t="s">
        <v>52</v>
      </c>
      <c r="I957">
        <v>7</v>
      </c>
      <c r="J957" s="1">
        <v>30</v>
      </c>
      <c r="K957" t="s">
        <v>2068</v>
      </c>
      <c r="L957" t="s">
        <v>2069</v>
      </c>
      <c r="P957">
        <v>69</v>
      </c>
      <c r="Q957" s="2">
        <v>0.69</v>
      </c>
      <c r="R957">
        <v>0.69</v>
      </c>
      <c r="S957" s="5">
        <v>2.3E-2</v>
      </c>
    </row>
    <row r="958" spans="1:19" x14ac:dyDescent="0.3">
      <c r="A958" t="s">
        <v>1974</v>
      </c>
      <c r="B958" t="s">
        <v>1975</v>
      </c>
      <c r="C958" t="s">
        <v>15</v>
      </c>
      <c r="D958" t="s">
        <v>20</v>
      </c>
      <c r="E958">
        <v>38</v>
      </c>
      <c r="F958" t="s">
        <v>139</v>
      </c>
      <c r="G958" t="s">
        <v>59</v>
      </c>
      <c r="H958" t="s">
        <v>79</v>
      </c>
      <c r="I958">
        <v>15</v>
      </c>
      <c r="M958">
        <v>4.2</v>
      </c>
      <c r="N958">
        <v>0</v>
      </c>
      <c r="O958" t="s">
        <v>2077</v>
      </c>
      <c r="P958">
        <v>0.88</v>
      </c>
      <c r="Q958" s="2">
        <v>0.88</v>
      </c>
    </row>
    <row r="959" spans="1:19" x14ac:dyDescent="0.3">
      <c r="A959" t="s">
        <v>1976</v>
      </c>
      <c r="B959" t="s">
        <v>1977</v>
      </c>
      <c r="C959" t="s">
        <v>111</v>
      </c>
      <c r="D959" t="s">
        <v>80</v>
      </c>
      <c r="E959">
        <v>54</v>
      </c>
      <c r="F959" t="s">
        <v>155</v>
      </c>
      <c r="G959" t="s">
        <v>17</v>
      </c>
      <c r="H959" t="s">
        <v>108</v>
      </c>
      <c r="I959">
        <v>1</v>
      </c>
      <c r="J959" s="1">
        <v>75</v>
      </c>
      <c r="K959" t="s">
        <v>2066</v>
      </c>
      <c r="M959">
        <v>4.4000000000000004</v>
      </c>
      <c r="N959" t="s">
        <v>96</v>
      </c>
      <c r="O959" t="s">
        <v>2076</v>
      </c>
    </row>
    <row r="960" spans="1:19" x14ac:dyDescent="0.3">
      <c r="A960" t="s">
        <v>1978</v>
      </c>
      <c r="B960" t="s">
        <v>1979</v>
      </c>
      <c r="C960" t="s">
        <v>111</v>
      </c>
      <c r="D960" t="s">
        <v>80</v>
      </c>
      <c r="E960">
        <v>20</v>
      </c>
      <c r="F960" t="s">
        <v>31</v>
      </c>
      <c r="G960" t="s">
        <v>32</v>
      </c>
      <c r="H960" t="s">
        <v>39</v>
      </c>
      <c r="I960">
        <v>1</v>
      </c>
      <c r="J960" s="1">
        <v>30</v>
      </c>
      <c r="K960" t="s">
        <v>2068</v>
      </c>
      <c r="L960" t="s">
        <v>2069</v>
      </c>
      <c r="M960">
        <v>2</v>
      </c>
      <c r="N960" t="s">
        <v>67</v>
      </c>
      <c r="O960" t="s">
        <v>2077</v>
      </c>
      <c r="P960">
        <v>0.89</v>
      </c>
      <c r="Q960" s="2">
        <v>0.89</v>
      </c>
      <c r="S960" s="5">
        <v>2.9666666666666699E-2</v>
      </c>
    </row>
    <row r="961" spans="1:19" x14ac:dyDescent="0.3">
      <c r="A961" t="s">
        <v>1980</v>
      </c>
      <c r="B961" t="s">
        <v>1981</v>
      </c>
      <c r="C961" t="s">
        <v>15</v>
      </c>
      <c r="D961" t="s">
        <v>20</v>
      </c>
      <c r="E961">
        <v>57</v>
      </c>
      <c r="F961" t="s">
        <v>16</v>
      </c>
      <c r="G961" t="s">
        <v>17</v>
      </c>
      <c r="H961" t="s">
        <v>18</v>
      </c>
      <c r="I961">
        <v>11</v>
      </c>
      <c r="J961" s="1">
        <v>20</v>
      </c>
      <c r="K961" t="s">
        <v>2068</v>
      </c>
      <c r="L961" t="s">
        <v>2072</v>
      </c>
      <c r="M961">
        <v>4.9000000000000004</v>
      </c>
      <c r="N961" t="s">
        <v>96</v>
      </c>
      <c r="O961" t="s">
        <v>2076</v>
      </c>
    </row>
    <row r="962" spans="1:19" x14ac:dyDescent="0.3">
      <c r="A962" t="s">
        <v>1982</v>
      </c>
      <c r="B962" t="s">
        <v>1983</v>
      </c>
      <c r="C962" t="s">
        <v>15</v>
      </c>
      <c r="D962" t="s">
        <v>20</v>
      </c>
      <c r="E962">
        <v>25</v>
      </c>
      <c r="F962" t="s">
        <v>139</v>
      </c>
      <c r="G962" t="s">
        <v>59</v>
      </c>
      <c r="H962" t="s">
        <v>79</v>
      </c>
      <c r="I962">
        <v>3</v>
      </c>
      <c r="J962" s="1">
        <v>30</v>
      </c>
      <c r="K962" t="s">
        <v>2065</v>
      </c>
      <c r="L962" t="s">
        <v>2069</v>
      </c>
      <c r="N962" t="s">
        <v>67</v>
      </c>
      <c r="O962" t="s">
        <v>2077</v>
      </c>
      <c r="P962">
        <v>0.88</v>
      </c>
      <c r="Q962" s="2">
        <v>0.88</v>
      </c>
      <c r="S962" s="5">
        <v>2.9333333333333302E-2</v>
      </c>
    </row>
    <row r="963" spans="1:19" x14ac:dyDescent="0.3">
      <c r="A963" t="s">
        <v>1984</v>
      </c>
      <c r="B963" t="s">
        <v>1985</v>
      </c>
      <c r="C963" t="s">
        <v>36</v>
      </c>
      <c r="D963" t="s">
        <v>20</v>
      </c>
      <c r="E963">
        <v>58</v>
      </c>
      <c r="F963" t="s">
        <v>101</v>
      </c>
      <c r="G963" t="s">
        <v>59</v>
      </c>
      <c r="H963" t="s">
        <v>79</v>
      </c>
      <c r="I963">
        <v>20</v>
      </c>
      <c r="J963" s="1">
        <v>75</v>
      </c>
      <c r="K963" t="s">
        <v>2066</v>
      </c>
      <c r="M963">
        <v>2.8</v>
      </c>
      <c r="N963" t="s">
        <v>67</v>
      </c>
      <c r="O963" t="s">
        <v>2077</v>
      </c>
      <c r="P963">
        <v>0.75</v>
      </c>
      <c r="Q963" s="2">
        <v>0.75</v>
      </c>
      <c r="S963" s="5">
        <v>0.01</v>
      </c>
    </row>
    <row r="964" spans="1:19" x14ac:dyDescent="0.3">
      <c r="A964" t="s">
        <v>1986</v>
      </c>
      <c r="B964" t="s">
        <v>1987</v>
      </c>
      <c r="C964" t="s">
        <v>15</v>
      </c>
      <c r="D964" t="s">
        <v>20</v>
      </c>
      <c r="E964">
        <v>56</v>
      </c>
      <c r="F964" t="s">
        <v>139</v>
      </c>
      <c r="G964" t="s">
        <v>59</v>
      </c>
      <c r="H964" t="s">
        <v>63</v>
      </c>
      <c r="I964">
        <v>31</v>
      </c>
      <c r="J964" s="1">
        <v>50</v>
      </c>
      <c r="K964" t="s">
        <v>2068</v>
      </c>
      <c r="L964" t="s">
        <v>2071</v>
      </c>
      <c r="M964">
        <v>1.1000000000000001</v>
      </c>
      <c r="N964" t="s">
        <v>53</v>
      </c>
      <c r="O964" t="s">
        <v>2077</v>
      </c>
      <c r="P964">
        <v>0.75</v>
      </c>
      <c r="Q964" s="2">
        <v>0.75</v>
      </c>
      <c r="S964" s="5">
        <v>1.4999999999999999E-2</v>
      </c>
    </row>
    <row r="965" spans="1:19" x14ac:dyDescent="0.3">
      <c r="A965" t="s">
        <v>1988</v>
      </c>
      <c r="B965" t="s">
        <v>1989</v>
      </c>
      <c r="C965" t="s">
        <v>15</v>
      </c>
      <c r="D965" t="s">
        <v>20</v>
      </c>
      <c r="E965">
        <v>28</v>
      </c>
      <c r="F965" t="s">
        <v>139</v>
      </c>
      <c r="G965" t="s">
        <v>59</v>
      </c>
      <c r="H965" t="s">
        <v>63</v>
      </c>
      <c r="I965">
        <v>1</v>
      </c>
      <c r="J965" s="1">
        <v>20</v>
      </c>
      <c r="K965" t="s">
        <v>2068</v>
      </c>
      <c r="L965" t="s">
        <v>2072</v>
      </c>
      <c r="M965">
        <v>4.7</v>
      </c>
      <c r="N965" t="b">
        <v>0</v>
      </c>
      <c r="O965" t="s">
        <v>2077</v>
      </c>
      <c r="P965">
        <v>0.93</v>
      </c>
      <c r="Q965" s="2">
        <v>0.93</v>
      </c>
      <c r="S965" s="5">
        <v>4.65E-2</v>
      </c>
    </row>
    <row r="966" spans="1:19" x14ac:dyDescent="0.3">
      <c r="A966" t="s">
        <v>1990</v>
      </c>
      <c r="B966" t="s">
        <v>1991</v>
      </c>
      <c r="C966" t="s">
        <v>15</v>
      </c>
      <c r="D966" t="s">
        <v>20</v>
      </c>
      <c r="E966">
        <v>27</v>
      </c>
      <c r="F966" t="s">
        <v>46</v>
      </c>
      <c r="G966" t="s">
        <v>17</v>
      </c>
      <c r="H966" t="s">
        <v>63</v>
      </c>
      <c r="I966">
        <v>5</v>
      </c>
      <c r="J966" s="1">
        <v>30</v>
      </c>
      <c r="K966" t="s">
        <v>2069</v>
      </c>
      <c r="N966" t="s">
        <v>53</v>
      </c>
      <c r="O966" t="s">
        <v>2077</v>
      </c>
      <c r="P966">
        <v>0.92</v>
      </c>
      <c r="Q966" s="2">
        <v>0.92</v>
      </c>
      <c r="S966" s="5">
        <v>3.06666666666667E-2</v>
      </c>
    </row>
    <row r="967" spans="1:19" x14ac:dyDescent="0.3">
      <c r="A967" t="s">
        <v>1992</v>
      </c>
      <c r="B967" t="s">
        <v>1993</v>
      </c>
      <c r="C967" t="s">
        <v>76</v>
      </c>
      <c r="D967" t="s">
        <v>80</v>
      </c>
      <c r="E967">
        <v>33</v>
      </c>
      <c r="F967" t="s">
        <v>31</v>
      </c>
      <c r="G967" t="s">
        <v>32</v>
      </c>
      <c r="H967" t="s">
        <v>18</v>
      </c>
      <c r="I967">
        <v>6</v>
      </c>
      <c r="J967" s="1">
        <v>40</v>
      </c>
      <c r="K967" t="s">
        <v>2067</v>
      </c>
      <c r="M967">
        <v>3.2</v>
      </c>
      <c r="N967">
        <v>1</v>
      </c>
      <c r="O967" t="s">
        <v>2076</v>
      </c>
      <c r="P967">
        <v>0.95</v>
      </c>
      <c r="Q967" s="2">
        <v>0.95</v>
      </c>
      <c r="S967" s="5">
        <v>2.375E-2</v>
      </c>
    </row>
    <row r="968" spans="1:19" x14ac:dyDescent="0.3">
      <c r="A968" t="s">
        <v>1994</v>
      </c>
      <c r="B968" t="s">
        <v>1995</v>
      </c>
      <c r="C968" t="s">
        <v>111</v>
      </c>
      <c r="D968" t="s">
        <v>80</v>
      </c>
      <c r="E968">
        <v>20</v>
      </c>
      <c r="F968" t="s">
        <v>42</v>
      </c>
      <c r="G968" t="s">
        <v>43</v>
      </c>
      <c r="H968" t="s">
        <v>47</v>
      </c>
      <c r="J968" s="1">
        <v>30</v>
      </c>
      <c r="K968" t="s">
        <v>2065</v>
      </c>
      <c r="L968" t="s">
        <v>2069</v>
      </c>
      <c r="M968">
        <v>4.5999999999999996</v>
      </c>
      <c r="N968">
        <v>1</v>
      </c>
      <c r="O968" t="s">
        <v>2076</v>
      </c>
    </row>
    <row r="969" spans="1:19" x14ac:dyDescent="0.3">
      <c r="A969" t="s">
        <v>1996</v>
      </c>
      <c r="B969" t="s">
        <v>1997</v>
      </c>
      <c r="C969" t="s">
        <v>76</v>
      </c>
      <c r="D969" t="s">
        <v>80</v>
      </c>
      <c r="E969">
        <v>52</v>
      </c>
      <c r="F969" t="s">
        <v>101</v>
      </c>
      <c r="G969" t="s">
        <v>59</v>
      </c>
      <c r="H969" t="s">
        <v>52</v>
      </c>
      <c r="I969">
        <v>34</v>
      </c>
      <c r="J969" s="1">
        <v>100</v>
      </c>
      <c r="K969" t="s">
        <v>2068</v>
      </c>
      <c r="L969" t="s">
        <v>2070</v>
      </c>
      <c r="M969">
        <v>3.3</v>
      </c>
      <c r="N969">
        <v>1</v>
      </c>
      <c r="O969" t="s">
        <v>2076</v>
      </c>
      <c r="P969">
        <v>0.84</v>
      </c>
      <c r="Q969" s="2">
        <v>0.84</v>
      </c>
      <c r="S969" s="5">
        <v>8.3999999999999995E-3</v>
      </c>
    </row>
    <row r="970" spans="1:19" x14ac:dyDescent="0.3">
      <c r="A970" t="s">
        <v>1998</v>
      </c>
      <c r="B970" t="s">
        <v>1999</v>
      </c>
      <c r="C970" t="s">
        <v>76</v>
      </c>
      <c r="D970" t="s">
        <v>80</v>
      </c>
      <c r="E970">
        <v>31</v>
      </c>
      <c r="F970" t="s">
        <v>46</v>
      </c>
      <c r="G970" t="s">
        <v>17</v>
      </c>
      <c r="H970" t="s">
        <v>52</v>
      </c>
      <c r="I970">
        <v>12</v>
      </c>
      <c r="J970" s="1">
        <v>20</v>
      </c>
      <c r="K970" t="s">
        <v>2072</v>
      </c>
      <c r="M970">
        <v>2.2999999999999998</v>
      </c>
      <c r="N970" t="b">
        <v>0</v>
      </c>
      <c r="O970" t="s">
        <v>2077</v>
      </c>
      <c r="P970">
        <v>0.9</v>
      </c>
      <c r="Q970" s="2">
        <v>0.9</v>
      </c>
      <c r="S970" s="5">
        <v>4.4999999999999998E-2</v>
      </c>
    </row>
    <row r="971" spans="1:19" x14ac:dyDescent="0.3">
      <c r="A971" t="s">
        <v>2000</v>
      </c>
      <c r="B971" t="s">
        <v>2001</v>
      </c>
      <c r="C971" t="s">
        <v>111</v>
      </c>
      <c r="D971" t="s">
        <v>80</v>
      </c>
      <c r="E971">
        <v>25</v>
      </c>
      <c r="F971" t="s">
        <v>87</v>
      </c>
      <c r="G971" t="s">
        <v>88</v>
      </c>
      <c r="H971" t="s">
        <v>39</v>
      </c>
      <c r="I971">
        <v>7</v>
      </c>
      <c r="J971" s="1">
        <v>40</v>
      </c>
      <c r="K971" t="s">
        <v>2068</v>
      </c>
      <c r="L971" t="s">
        <v>2067</v>
      </c>
      <c r="M971">
        <v>4.4000000000000004</v>
      </c>
      <c r="P971">
        <v>81</v>
      </c>
      <c r="Q971" s="2">
        <v>0.81</v>
      </c>
      <c r="R971">
        <v>0.81</v>
      </c>
      <c r="S971" s="5">
        <v>2.0250000000000001E-2</v>
      </c>
    </row>
    <row r="972" spans="1:19" x14ac:dyDescent="0.3">
      <c r="A972" t="s">
        <v>2002</v>
      </c>
      <c r="B972" t="s">
        <v>2003</v>
      </c>
      <c r="C972" t="s">
        <v>111</v>
      </c>
      <c r="D972" t="s">
        <v>80</v>
      </c>
      <c r="E972">
        <v>21</v>
      </c>
      <c r="F972" t="s">
        <v>188</v>
      </c>
      <c r="G972" t="s">
        <v>189</v>
      </c>
      <c r="H972" t="s">
        <v>47</v>
      </c>
      <c r="I972">
        <v>2</v>
      </c>
      <c r="J972" s="1">
        <v>20</v>
      </c>
      <c r="K972" t="s">
        <v>2072</v>
      </c>
      <c r="M972">
        <v>2.4</v>
      </c>
      <c r="P972">
        <v>0.86</v>
      </c>
      <c r="Q972" s="2">
        <v>0.86</v>
      </c>
      <c r="S972" s="5">
        <v>4.2999999999999997E-2</v>
      </c>
    </row>
    <row r="973" spans="1:19" x14ac:dyDescent="0.3">
      <c r="A973" t="s">
        <v>2004</v>
      </c>
      <c r="B973" t="s">
        <v>2005</v>
      </c>
      <c r="C973" t="s">
        <v>111</v>
      </c>
      <c r="D973" t="s">
        <v>80</v>
      </c>
      <c r="E973">
        <v>51</v>
      </c>
      <c r="F973" t="s">
        <v>50</v>
      </c>
      <c r="G973" t="s">
        <v>51</v>
      </c>
      <c r="H973" t="s">
        <v>79</v>
      </c>
      <c r="I973">
        <v>2</v>
      </c>
      <c r="J973" s="1">
        <v>30</v>
      </c>
      <c r="K973" t="s">
        <v>2065</v>
      </c>
      <c r="L973" t="s">
        <v>2069</v>
      </c>
      <c r="M973">
        <v>4.5</v>
      </c>
      <c r="N973">
        <v>0</v>
      </c>
      <c r="O973" t="s">
        <v>2077</v>
      </c>
      <c r="P973">
        <v>64</v>
      </c>
      <c r="Q973" s="2">
        <v>0.64</v>
      </c>
      <c r="R973">
        <v>0.64</v>
      </c>
      <c r="S973" s="5">
        <v>2.1333333333333301E-2</v>
      </c>
    </row>
    <row r="974" spans="1:19" x14ac:dyDescent="0.3">
      <c r="A974" t="s">
        <v>2006</v>
      </c>
      <c r="B974" t="s">
        <v>2007</v>
      </c>
      <c r="C974" t="s">
        <v>76</v>
      </c>
      <c r="D974" t="s">
        <v>80</v>
      </c>
      <c r="E974">
        <v>55</v>
      </c>
      <c r="F974" t="s">
        <v>118</v>
      </c>
      <c r="G974" t="s">
        <v>119</v>
      </c>
      <c r="H974" t="s">
        <v>39</v>
      </c>
      <c r="I974">
        <v>0</v>
      </c>
      <c r="J974" s="1">
        <v>40</v>
      </c>
      <c r="K974" t="s">
        <v>2065</v>
      </c>
      <c r="L974" t="s">
        <v>2067</v>
      </c>
      <c r="M974">
        <v>0</v>
      </c>
      <c r="N974" t="b">
        <v>1</v>
      </c>
      <c r="O974" t="s">
        <v>2076</v>
      </c>
    </row>
    <row r="975" spans="1:19" x14ac:dyDescent="0.3">
      <c r="A975" t="s">
        <v>2008</v>
      </c>
      <c r="B975" t="s">
        <v>2009</v>
      </c>
      <c r="C975" t="s">
        <v>76</v>
      </c>
      <c r="D975" t="s">
        <v>80</v>
      </c>
      <c r="E975">
        <v>33</v>
      </c>
      <c r="F975" t="s">
        <v>139</v>
      </c>
      <c r="G975" t="s">
        <v>59</v>
      </c>
      <c r="H975" t="s">
        <v>18</v>
      </c>
      <c r="I975">
        <v>2</v>
      </c>
      <c r="J975" s="1">
        <v>100</v>
      </c>
      <c r="K975" t="s">
        <v>2068</v>
      </c>
      <c r="L975" t="s">
        <v>2070</v>
      </c>
      <c r="M975">
        <v>3.8</v>
      </c>
      <c r="N975" t="b">
        <v>0</v>
      </c>
      <c r="O975" t="s">
        <v>2077</v>
      </c>
    </row>
    <row r="976" spans="1:19" x14ac:dyDescent="0.3">
      <c r="A976" t="s">
        <v>2010</v>
      </c>
      <c r="B976" t="s">
        <v>2011</v>
      </c>
      <c r="C976" t="s">
        <v>111</v>
      </c>
      <c r="D976" t="s">
        <v>80</v>
      </c>
      <c r="E976">
        <v>37</v>
      </c>
      <c r="F976" t="s">
        <v>91</v>
      </c>
      <c r="G976" t="s">
        <v>59</v>
      </c>
      <c r="H976" t="s">
        <v>66</v>
      </c>
      <c r="J976" s="1">
        <v>20</v>
      </c>
      <c r="K976" t="s">
        <v>2068</v>
      </c>
      <c r="L976" t="s">
        <v>2072</v>
      </c>
      <c r="M976">
        <v>4.9000000000000004</v>
      </c>
      <c r="N976" t="s">
        <v>53</v>
      </c>
      <c r="O976" t="s">
        <v>2077</v>
      </c>
    </row>
    <row r="977" spans="1:19" x14ac:dyDescent="0.3">
      <c r="A977" t="s">
        <v>2012</v>
      </c>
      <c r="B977" t="s">
        <v>2013</v>
      </c>
      <c r="C977" t="s">
        <v>111</v>
      </c>
      <c r="D977" t="s">
        <v>80</v>
      </c>
      <c r="E977">
        <v>28</v>
      </c>
      <c r="F977" t="s">
        <v>31</v>
      </c>
      <c r="G977" t="s">
        <v>32</v>
      </c>
      <c r="H977" t="s">
        <v>60</v>
      </c>
      <c r="I977">
        <v>2</v>
      </c>
      <c r="J977" s="1">
        <v>75</v>
      </c>
      <c r="K977" t="s">
        <v>2068</v>
      </c>
      <c r="L977" t="s">
        <v>2066</v>
      </c>
      <c r="M977">
        <v>1.5</v>
      </c>
      <c r="N977">
        <v>1</v>
      </c>
      <c r="O977" t="s">
        <v>2076</v>
      </c>
      <c r="P977">
        <v>0.68</v>
      </c>
      <c r="Q977" s="2">
        <v>0.68</v>
      </c>
      <c r="S977" s="5">
        <v>9.0666666666666708E-3</v>
      </c>
    </row>
    <row r="978" spans="1:19" x14ac:dyDescent="0.3">
      <c r="A978" t="s">
        <v>2014</v>
      </c>
      <c r="B978" t="s">
        <v>2015</v>
      </c>
      <c r="C978" t="s">
        <v>36</v>
      </c>
      <c r="D978" t="s">
        <v>20</v>
      </c>
      <c r="E978">
        <v>54</v>
      </c>
      <c r="F978" t="s">
        <v>254</v>
      </c>
      <c r="G978" t="s">
        <v>255</v>
      </c>
      <c r="H978" t="s">
        <v>66</v>
      </c>
      <c r="I978">
        <v>29</v>
      </c>
      <c r="J978" s="1">
        <v>30</v>
      </c>
      <c r="K978" t="s">
        <v>2065</v>
      </c>
      <c r="L978" t="s">
        <v>2069</v>
      </c>
      <c r="M978">
        <v>1.7</v>
      </c>
      <c r="N978">
        <v>0</v>
      </c>
      <c r="O978" t="s">
        <v>2077</v>
      </c>
      <c r="P978">
        <v>68</v>
      </c>
      <c r="Q978" s="2">
        <v>0.68</v>
      </c>
      <c r="R978">
        <v>0.68</v>
      </c>
      <c r="S978" s="5">
        <v>2.26666666666667E-2</v>
      </c>
    </row>
    <row r="979" spans="1:19" x14ac:dyDescent="0.3">
      <c r="A979" t="s">
        <v>2016</v>
      </c>
      <c r="B979" t="s">
        <v>2017</v>
      </c>
      <c r="C979" t="s">
        <v>36</v>
      </c>
      <c r="D979" t="s">
        <v>20</v>
      </c>
      <c r="E979">
        <v>57</v>
      </c>
      <c r="F979" t="s">
        <v>254</v>
      </c>
      <c r="G979" t="s">
        <v>255</v>
      </c>
      <c r="H979" t="s">
        <v>18</v>
      </c>
      <c r="I979">
        <v>7</v>
      </c>
      <c r="J979" s="1">
        <v>30</v>
      </c>
      <c r="K979" t="s">
        <v>2069</v>
      </c>
      <c r="M979">
        <v>1.6</v>
      </c>
      <c r="N979" t="s">
        <v>67</v>
      </c>
      <c r="O979" t="s">
        <v>2077</v>
      </c>
    </row>
    <row r="980" spans="1:19" x14ac:dyDescent="0.3">
      <c r="A980" t="s">
        <v>2018</v>
      </c>
      <c r="B980" t="s">
        <v>2019</v>
      </c>
      <c r="C980" t="s">
        <v>36</v>
      </c>
      <c r="D980" t="s">
        <v>20</v>
      </c>
      <c r="E980">
        <v>36</v>
      </c>
      <c r="F980" t="s">
        <v>27</v>
      </c>
      <c r="G980" t="s">
        <v>28</v>
      </c>
      <c r="H980" t="s">
        <v>63</v>
      </c>
      <c r="I980">
        <v>7</v>
      </c>
      <c r="J980" s="1">
        <v>30</v>
      </c>
      <c r="K980" t="s">
        <v>2069</v>
      </c>
      <c r="M980">
        <v>0</v>
      </c>
      <c r="N980" t="s">
        <v>53</v>
      </c>
      <c r="O980" t="s">
        <v>2077</v>
      </c>
      <c r="P980">
        <v>0.88</v>
      </c>
      <c r="Q980" s="2">
        <v>0.88</v>
      </c>
      <c r="S980" s="5">
        <v>2.9333333333333302E-2</v>
      </c>
    </row>
    <row r="981" spans="1:19" x14ac:dyDescent="0.3">
      <c r="A981" t="s">
        <v>2020</v>
      </c>
      <c r="B981" t="s">
        <v>2021</v>
      </c>
      <c r="C981" t="s">
        <v>76</v>
      </c>
      <c r="D981" t="s">
        <v>80</v>
      </c>
      <c r="E981">
        <v>32</v>
      </c>
      <c r="F981" t="s">
        <v>101</v>
      </c>
      <c r="G981" t="s">
        <v>59</v>
      </c>
      <c r="H981" t="s">
        <v>66</v>
      </c>
      <c r="I981">
        <v>10</v>
      </c>
      <c r="J981" s="1">
        <v>50</v>
      </c>
      <c r="K981" t="s">
        <v>2068</v>
      </c>
      <c r="L981" t="s">
        <v>2071</v>
      </c>
      <c r="M981">
        <v>1.5</v>
      </c>
      <c r="N981" t="b">
        <v>0</v>
      </c>
      <c r="O981" t="s">
        <v>2077</v>
      </c>
      <c r="P981">
        <v>0.65</v>
      </c>
      <c r="Q981" s="2">
        <v>0.65</v>
      </c>
      <c r="S981" s="5">
        <v>1.2999999999999999E-2</v>
      </c>
    </row>
    <row r="982" spans="1:19" x14ac:dyDescent="0.3">
      <c r="A982" t="s">
        <v>2022</v>
      </c>
      <c r="B982" t="s">
        <v>2023</v>
      </c>
      <c r="C982" t="s">
        <v>111</v>
      </c>
      <c r="D982" t="s">
        <v>80</v>
      </c>
      <c r="E982">
        <v>44</v>
      </c>
      <c r="F982" t="s">
        <v>91</v>
      </c>
      <c r="G982" t="s">
        <v>59</v>
      </c>
      <c r="H982" t="s">
        <v>60</v>
      </c>
      <c r="I982">
        <v>25</v>
      </c>
      <c r="J982" s="1">
        <v>75</v>
      </c>
      <c r="K982" t="s">
        <v>2066</v>
      </c>
      <c r="M982">
        <v>2.7</v>
      </c>
      <c r="N982">
        <v>1</v>
      </c>
      <c r="O982" t="s">
        <v>2076</v>
      </c>
      <c r="P982">
        <v>78</v>
      </c>
      <c r="Q982" s="2">
        <v>0.78</v>
      </c>
      <c r="R982">
        <v>0.78</v>
      </c>
      <c r="S982" s="5">
        <v>1.04E-2</v>
      </c>
    </row>
    <row r="983" spans="1:19" x14ac:dyDescent="0.3">
      <c r="A983" t="s">
        <v>2024</v>
      </c>
      <c r="B983" t="s">
        <v>2025</v>
      </c>
      <c r="C983" t="s">
        <v>76</v>
      </c>
      <c r="D983" t="s">
        <v>80</v>
      </c>
      <c r="E983">
        <v>59</v>
      </c>
      <c r="F983" t="s">
        <v>83</v>
      </c>
      <c r="G983" t="s">
        <v>84</v>
      </c>
      <c r="H983" t="s">
        <v>60</v>
      </c>
      <c r="I983">
        <v>37</v>
      </c>
      <c r="J983" s="1">
        <v>30</v>
      </c>
      <c r="K983" t="s">
        <v>2069</v>
      </c>
      <c r="M983">
        <v>4</v>
      </c>
      <c r="N983" t="b">
        <v>0</v>
      </c>
      <c r="O983" t="s">
        <v>2077</v>
      </c>
      <c r="P983">
        <v>0.62</v>
      </c>
      <c r="Q983" s="2">
        <v>0.62</v>
      </c>
      <c r="S983" s="5">
        <v>2.0666666666666701E-2</v>
      </c>
    </row>
    <row r="984" spans="1:19" x14ac:dyDescent="0.3">
      <c r="A984" t="s">
        <v>2026</v>
      </c>
      <c r="B984" t="s">
        <v>2027</v>
      </c>
      <c r="C984" t="s">
        <v>36</v>
      </c>
      <c r="D984" t="s">
        <v>20</v>
      </c>
      <c r="E984">
        <v>28</v>
      </c>
      <c r="F984" t="s">
        <v>91</v>
      </c>
      <c r="G984" t="s">
        <v>59</v>
      </c>
      <c r="H984" t="s">
        <v>18</v>
      </c>
      <c r="I984">
        <v>5</v>
      </c>
      <c r="J984" s="1">
        <v>50</v>
      </c>
      <c r="K984" t="s">
        <v>2065</v>
      </c>
      <c r="L984" t="s">
        <v>2071</v>
      </c>
      <c r="M984">
        <v>0</v>
      </c>
      <c r="N984" t="s">
        <v>19</v>
      </c>
      <c r="O984" t="s">
        <v>2076</v>
      </c>
      <c r="P984">
        <v>96</v>
      </c>
      <c r="Q984" s="2">
        <v>0.96</v>
      </c>
      <c r="R984">
        <v>0.96</v>
      </c>
      <c r="S984" s="5">
        <v>1.9199999999999998E-2</v>
      </c>
    </row>
    <row r="985" spans="1:19" x14ac:dyDescent="0.3">
      <c r="A985" t="s">
        <v>2028</v>
      </c>
      <c r="B985" t="s">
        <v>2029</v>
      </c>
      <c r="C985" t="s">
        <v>15</v>
      </c>
      <c r="D985" t="s">
        <v>20</v>
      </c>
      <c r="E985">
        <v>59</v>
      </c>
      <c r="F985" t="s">
        <v>83</v>
      </c>
      <c r="G985" t="s">
        <v>84</v>
      </c>
      <c r="H985" t="s">
        <v>39</v>
      </c>
      <c r="I985">
        <v>21</v>
      </c>
      <c r="J985" s="1">
        <v>100</v>
      </c>
      <c r="K985" t="s">
        <v>2070</v>
      </c>
      <c r="M985">
        <v>0</v>
      </c>
      <c r="P985">
        <v>0.7</v>
      </c>
      <c r="Q985" s="2">
        <v>0.7</v>
      </c>
      <c r="S985" s="5">
        <v>7.0000000000000001E-3</v>
      </c>
    </row>
    <row r="986" spans="1:19" x14ac:dyDescent="0.3">
      <c r="A986" t="s">
        <v>2030</v>
      </c>
      <c r="B986" t="s">
        <v>2031</v>
      </c>
      <c r="C986" t="s">
        <v>15</v>
      </c>
      <c r="D986" t="s">
        <v>20</v>
      </c>
      <c r="E986">
        <v>20</v>
      </c>
      <c r="F986" t="s">
        <v>42</v>
      </c>
      <c r="G986" t="s">
        <v>43</v>
      </c>
      <c r="H986" t="s">
        <v>108</v>
      </c>
      <c r="I986">
        <v>1</v>
      </c>
      <c r="J986" s="1">
        <v>50</v>
      </c>
      <c r="K986" t="s">
        <v>2068</v>
      </c>
      <c r="L986" t="s">
        <v>2071</v>
      </c>
      <c r="N986" t="s">
        <v>19</v>
      </c>
      <c r="O986" t="s">
        <v>2076</v>
      </c>
      <c r="P986">
        <v>0.81</v>
      </c>
      <c r="Q986" s="2">
        <v>0.81</v>
      </c>
      <c r="S986" s="5">
        <v>1.6199999999999999E-2</v>
      </c>
    </row>
    <row r="987" spans="1:19" x14ac:dyDescent="0.3">
      <c r="A987" t="s">
        <v>2032</v>
      </c>
      <c r="B987" t="s">
        <v>2033</v>
      </c>
      <c r="C987" t="s">
        <v>36</v>
      </c>
      <c r="D987" t="s">
        <v>20</v>
      </c>
      <c r="E987">
        <v>47</v>
      </c>
      <c r="F987" t="s">
        <v>23</v>
      </c>
      <c r="G987" t="s">
        <v>24</v>
      </c>
      <c r="H987" t="s">
        <v>18</v>
      </c>
      <c r="I987">
        <v>10</v>
      </c>
      <c r="J987" s="1">
        <v>75</v>
      </c>
      <c r="K987" t="s">
        <v>2065</v>
      </c>
      <c r="L987" t="s">
        <v>2066</v>
      </c>
      <c r="M987">
        <v>1.9</v>
      </c>
    </row>
    <row r="988" spans="1:19" x14ac:dyDescent="0.3">
      <c r="A988" t="s">
        <v>2034</v>
      </c>
      <c r="B988" t="s">
        <v>2035</v>
      </c>
      <c r="C988" t="s">
        <v>36</v>
      </c>
      <c r="D988" t="s">
        <v>20</v>
      </c>
      <c r="E988">
        <v>48</v>
      </c>
      <c r="F988" t="s">
        <v>188</v>
      </c>
      <c r="G988" t="s">
        <v>189</v>
      </c>
      <c r="H988" t="s">
        <v>63</v>
      </c>
      <c r="I988">
        <v>8</v>
      </c>
      <c r="J988" s="1">
        <v>30</v>
      </c>
      <c r="K988" t="s">
        <v>2069</v>
      </c>
      <c r="M988">
        <v>5</v>
      </c>
      <c r="N988">
        <v>1</v>
      </c>
      <c r="O988" t="s">
        <v>2076</v>
      </c>
      <c r="P988">
        <v>0.99</v>
      </c>
      <c r="Q988" s="2">
        <v>0.99</v>
      </c>
      <c r="S988" s="5">
        <v>3.3000000000000002E-2</v>
      </c>
    </row>
    <row r="989" spans="1:19" x14ac:dyDescent="0.3">
      <c r="A989" t="s">
        <v>2036</v>
      </c>
      <c r="B989" t="s">
        <v>2037</v>
      </c>
      <c r="C989" t="s">
        <v>15</v>
      </c>
      <c r="D989" t="s">
        <v>20</v>
      </c>
      <c r="E989">
        <v>36</v>
      </c>
      <c r="F989" t="s">
        <v>158</v>
      </c>
      <c r="G989" t="s">
        <v>159</v>
      </c>
      <c r="H989" t="s">
        <v>47</v>
      </c>
      <c r="I989">
        <v>11</v>
      </c>
      <c r="J989" s="1">
        <v>75</v>
      </c>
      <c r="K989" t="s">
        <v>2065</v>
      </c>
      <c r="L989" t="s">
        <v>2066</v>
      </c>
      <c r="M989">
        <v>3.2</v>
      </c>
      <c r="N989">
        <v>0</v>
      </c>
      <c r="O989" t="s">
        <v>2077</v>
      </c>
      <c r="P989">
        <v>93</v>
      </c>
      <c r="Q989" s="2">
        <v>0.93</v>
      </c>
      <c r="R989">
        <v>0.93</v>
      </c>
      <c r="S989" s="5">
        <v>1.24E-2</v>
      </c>
    </row>
    <row r="990" spans="1:19" x14ac:dyDescent="0.3">
      <c r="A990" t="s">
        <v>2038</v>
      </c>
      <c r="B990" t="s">
        <v>2039</v>
      </c>
      <c r="C990" t="s">
        <v>36</v>
      </c>
      <c r="D990" t="s">
        <v>20</v>
      </c>
      <c r="E990">
        <v>32</v>
      </c>
      <c r="F990" t="s">
        <v>46</v>
      </c>
      <c r="G990" t="s">
        <v>17</v>
      </c>
      <c r="H990" t="s">
        <v>47</v>
      </c>
      <c r="I990">
        <v>9</v>
      </c>
      <c r="J990" s="1">
        <v>40</v>
      </c>
      <c r="K990" t="s">
        <v>2068</v>
      </c>
      <c r="L990" t="s">
        <v>2067</v>
      </c>
      <c r="M990">
        <v>4.5999999999999996</v>
      </c>
      <c r="N990">
        <v>1</v>
      </c>
      <c r="O990" t="s">
        <v>2076</v>
      </c>
      <c r="P990">
        <v>0.84</v>
      </c>
      <c r="Q990" s="2">
        <v>0.84</v>
      </c>
      <c r="S990" s="5">
        <v>2.1000000000000001E-2</v>
      </c>
    </row>
    <row r="991" spans="1:19" x14ac:dyDescent="0.3">
      <c r="A991" t="s">
        <v>2040</v>
      </c>
      <c r="B991" t="s">
        <v>2041</v>
      </c>
      <c r="C991" t="s">
        <v>15</v>
      </c>
      <c r="D991" t="s">
        <v>20</v>
      </c>
      <c r="E991">
        <v>34</v>
      </c>
      <c r="F991" t="s">
        <v>77</v>
      </c>
      <c r="G991" t="s">
        <v>78</v>
      </c>
      <c r="H991" t="s">
        <v>63</v>
      </c>
      <c r="I991">
        <v>0</v>
      </c>
      <c r="J991" s="1">
        <v>20</v>
      </c>
      <c r="K991" t="s">
        <v>2072</v>
      </c>
      <c r="M991">
        <v>1.7</v>
      </c>
      <c r="N991">
        <v>0</v>
      </c>
      <c r="O991" t="s">
        <v>2077</v>
      </c>
      <c r="P991">
        <v>0.66</v>
      </c>
      <c r="Q991" s="2">
        <v>0.66</v>
      </c>
      <c r="S991" s="5">
        <v>3.3000000000000002E-2</v>
      </c>
    </row>
    <row r="992" spans="1:19" x14ac:dyDescent="0.3">
      <c r="A992" t="s">
        <v>2042</v>
      </c>
      <c r="B992" t="s">
        <v>2043</v>
      </c>
      <c r="C992" t="s">
        <v>36</v>
      </c>
      <c r="D992" t="s">
        <v>20</v>
      </c>
      <c r="E992">
        <v>48</v>
      </c>
      <c r="F992" t="s">
        <v>46</v>
      </c>
      <c r="G992" t="s">
        <v>17</v>
      </c>
      <c r="H992" t="s">
        <v>39</v>
      </c>
      <c r="I992">
        <v>18</v>
      </c>
      <c r="J992" s="1">
        <v>75</v>
      </c>
      <c r="K992" t="s">
        <v>2066</v>
      </c>
      <c r="M992">
        <v>0</v>
      </c>
      <c r="N992">
        <v>0</v>
      </c>
      <c r="O992" t="s">
        <v>2077</v>
      </c>
      <c r="P992">
        <v>0.8</v>
      </c>
      <c r="Q992" s="2">
        <v>0.8</v>
      </c>
      <c r="S992" s="5">
        <v>1.0666666666666699E-2</v>
      </c>
    </row>
    <row r="993" spans="1:19" x14ac:dyDescent="0.3">
      <c r="A993" t="s">
        <v>2044</v>
      </c>
      <c r="B993" t="s">
        <v>2045</v>
      </c>
      <c r="C993" t="s">
        <v>36</v>
      </c>
      <c r="D993" t="s">
        <v>20</v>
      </c>
      <c r="E993">
        <v>42</v>
      </c>
      <c r="F993" t="s">
        <v>77</v>
      </c>
      <c r="G993" t="s">
        <v>78</v>
      </c>
      <c r="H993" t="s">
        <v>33</v>
      </c>
      <c r="I993">
        <v>0</v>
      </c>
      <c r="J993" s="1">
        <v>30</v>
      </c>
      <c r="K993" t="s">
        <v>2065</v>
      </c>
      <c r="L993" t="s">
        <v>2069</v>
      </c>
      <c r="M993">
        <v>1.2</v>
      </c>
      <c r="N993">
        <v>0</v>
      </c>
      <c r="O993" t="s">
        <v>2077</v>
      </c>
      <c r="P993">
        <v>0.69</v>
      </c>
      <c r="Q993" s="2">
        <v>0.69</v>
      </c>
      <c r="S993" s="5">
        <v>2.3E-2</v>
      </c>
    </row>
    <row r="994" spans="1:19" x14ac:dyDescent="0.3">
      <c r="A994" t="s">
        <v>2046</v>
      </c>
      <c r="B994" t="s">
        <v>2047</v>
      </c>
      <c r="C994" t="s">
        <v>76</v>
      </c>
      <c r="D994" t="s">
        <v>80</v>
      </c>
      <c r="E994">
        <v>50</v>
      </c>
      <c r="F994" t="s">
        <v>87</v>
      </c>
      <c r="G994" t="s">
        <v>88</v>
      </c>
      <c r="H994" t="s">
        <v>52</v>
      </c>
      <c r="I994">
        <v>31</v>
      </c>
      <c r="J994" s="1">
        <v>100</v>
      </c>
      <c r="K994" t="s">
        <v>2068</v>
      </c>
      <c r="L994" t="s">
        <v>2070</v>
      </c>
      <c r="M994">
        <v>2.9</v>
      </c>
      <c r="N994" t="s">
        <v>96</v>
      </c>
      <c r="O994" t="s">
        <v>2076</v>
      </c>
      <c r="P994">
        <v>0.89</v>
      </c>
      <c r="Q994" s="2">
        <v>0.89</v>
      </c>
      <c r="S994" s="5">
        <v>8.8999999999999999E-3</v>
      </c>
    </row>
    <row r="995" spans="1:19" x14ac:dyDescent="0.3">
      <c r="A995" t="s">
        <v>2048</v>
      </c>
      <c r="B995" t="s">
        <v>2049</v>
      </c>
      <c r="C995" t="s">
        <v>111</v>
      </c>
      <c r="D995" t="s">
        <v>80</v>
      </c>
      <c r="E995">
        <v>33</v>
      </c>
      <c r="F995" t="s">
        <v>188</v>
      </c>
      <c r="G995" t="s">
        <v>189</v>
      </c>
      <c r="H995" t="s">
        <v>52</v>
      </c>
      <c r="I995">
        <v>11</v>
      </c>
      <c r="N995" t="s">
        <v>19</v>
      </c>
      <c r="O995" t="s">
        <v>2076</v>
      </c>
      <c r="P995">
        <v>0.84</v>
      </c>
      <c r="Q995" s="2">
        <v>0.84</v>
      </c>
    </row>
    <row r="996" spans="1:19" x14ac:dyDescent="0.3">
      <c r="A996" t="s">
        <v>2050</v>
      </c>
      <c r="B996" t="s">
        <v>2051</v>
      </c>
      <c r="C996" t="s">
        <v>76</v>
      </c>
      <c r="D996" t="s">
        <v>80</v>
      </c>
      <c r="E996">
        <v>37</v>
      </c>
      <c r="F996" t="s">
        <v>139</v>
      </c>
      <c r="G996" t="s">
        <v>59</v>
      </c>
      <c r="H996" t="s">
        <v>18</v>
      </c>
      <c r="I996">
        <v>18</v>
      </c>
      <c r="J996" s="1">
        <v>40</v>
      </c>
      <c r="K996" t="s">
        <v>2067</v>
      </c>
      <c r="M996">
        <v>4.5</v>
      </c>
      <c r="N996" t="s">
        <v>67</v>
      </c>
      <c r="O996" t="s">
        <v>2077</v>
      </c>
      <c r="P996">
        <v>0.72</v>
      </c>
      <c r="Q996" s="2">
        <v>0.72</v>
      </c>
      <c r="S996" s="5">
        <v>1.7999999999999999E-2</v>
      </c>
    </row>
    <row r="997" spans="1:19" x14ac:dyDescent="0.3">
      <c r="A997" t="s">
        <v>2052</v>
      </c>
      <c r="B997" t="s">
        <v>2053</v>
      </c>
      <c r="C997" t="s">
        <v>36</v>
      </c>
      <c r="D997" t="s">
        <v>20</v>
      </c>
      <c r="E997">
        <v>52</v>
      </c>
      <c r="F997" t="s">
        <v>31</v>
      </c>
      <c r="G997" t="s">
        <v>32</v>
      </c>
      <c r="H997" t="s">
        <v>39</v>
      </c>
      <c r="I997">
        <v>33</v>
      </c>
      <c r="J997" s="1">
        <v>100</v>
      </c>
      <c r="K997" t="s">
        <v>2065</v>
      </c>
      <c r="L997" t="s">
        <v>2070</v>
      </c>
      <c r="M997">
        <v>1.6</v>
      </c>
      <c r="P997">
        <v>0.66</v>
      </c>
      <c r="Q997" s="2">
        <v>0.66</v>
      </c>
      <c r="S997" s="5">
        <v>6.6E-3</v>
      </c>
    </row>
    <row r="998" spans="1:19" x14ac:dyDescent="0.3">
      <c r="A998" t="s">
        <v>2054</v>
      </c>
      <c r="B998" t="s">
        <v>2055</v>
      </c>
      <c r="C998" t="s">
        <v>36</v>
      </c>
      <c r="D998" t="s">
        <v>20</v>
      </c>
      <c r="E998">
        <v>34</v>
      </c>
      <c r="F998" t="s">
        <v>158</v>
      </c>
      <c r="G998" t="s">
        <v>159</v>
      </c>
      <c r="H998" t="s">
        <v>33</v>
      </c>
      <c r="I998">
        <v>6</v>
      </c>
      <c r="J998" s="1">
        <v>75</v>
      </c>
      <c r="K998" t="s">
        <v>2066</v>
      </c>
      <c r="M998">
        <v>1.9</v>
      </c>
      <c r="N998">
        <v>1</v>
      </c>
      <c r="O998" t="s">
        <v>2076</v>
      </c>
      <c r="P998">
        <v>0.81</v>
      </c>
      <c r="Q998" s="2">
        <v>0.81</v>
      </c>
      <c r="S998" s="5">
        <v>1.0800000000000001E-2</v>
      </c>
    </row>
    <row r="999" spans="1:19" x14ac:dyDescent="0.3">
      <c r="A999" t="s">
        <v>2056</v>
      </c>
      <c r="B999" t="s">
        <v>2057</v>
      </c>
      <c r="C999" t="s">
        <v>36</v>
      </c>
      <c r="D999" t="s">
        <v>20</v>
      </c>
      <c r="E999">
        <v>27</v>
      </c>
      <c r="F999" t="s">
        <v>188</v>
      </c>
      <c r="G999" t="s">
        <v>189</v>
      </c>
      <c r="H999" t="s">
        <v>66</v>
      </c>
      <c r="I999">
        <v>1</v>
      </c>
      <c r="J999" s="1">
        <v>100</v>
      </c>
      <c r="K999" t="s">
        <v>2068</v>
      </c>
      <c r="L999" t="s">
        <v>2070</v>
      </c>
      <c r="M999">
        <v>3.7</v>
      </c>
      <c r="N999" t="s">
        <v>96</v>
      </c>
      <c r="O999" t="s">
        <v>2076</v>
      </c>
      <c r="P999">
        <v>61</v>
      </c>
      <c r="Q999" s="2">
        <v>0.61</v>
      </c>
      <c r="R999">
        <v>0.61</v>
      </c>
      <c r="S999" s="5">
        <v>6.1000000000000004E-3</v>
      </c>
    </row>
    <row r="1000" spans="1:19" x14ac:dyDescent="0.3">
      <c r="A1000" t="s">
        <v>2058</v>
      </c>
      <c r="B1000" t="s">
        <v>2059</v>
      </c>
      <c r="C1000" t="s">
        <v>15</v>
      </c>
      <c r="D1000" t="s">
        <v>20</v>
      </c>
      <c r="E1000">
        <v>34</v>
      </c>
      <c r="F1000" t="s">
        <v>101</v>
      </c>
      <c r="G1000" t="s">
        <v>59</v>
      </c>
      <c r="H1000" t="s">
        <v>18</v>
      </c>
      <c r="I1000">
        <v>10</v>
      </c>
      <c r="J1000" s="1">
        <v>30</v>
      </c>
      <c r="K1000" t="s">
        <v>2065</v>
      </c>
      <c r="L1000" t="s">
        <v>2069</v>
      </c>
      <c r="M1000">
        <v>3.9</v>
      </c>
    </row>
    <row r="1001" spans="1:19" x14ac:dyDescent="0.3">
      <c r="A1001" t="s">
        <v>2060</v>
      </c>
      <c r="B1001" t="s">
        <v>2061</v>
      </c>
      <c r="C1001" t="s">
        <v>15</v>
      </c>
      <c r="D1001" t="s">
        <v>20</v>
      </c>
      <c r="E1001">
        <v>51</v>
      </c>
      <c r="F1001" t="s">
        <v>58</v>
      </c>
      <c r="G1001" t="s">
        <v>59</v>
      </c>
      <c r="H1001" t="s">
        <v>108</v>
      </c>
      <c r="I1001">
        <v>12</v>
      </c>
      <c r="J1001" s="1">
        <v>20</v>
      </c>
      <c r="K1001" t="s">
        <v>2072</v>
      </c>
      <c r="M1001">
        <v>4</v>
      </c>
      <c r="N1001">
        <v>0</v>
      </c>
      <c r="O1001" t="s">
        <v>2077</v>
      </c>
      <c r="P1001">
        <v>93</v>
      </c>
      <c r="Q1001" s="2">
        <v>0.93</v>
      </c>
      <c r="R1001">
        <v>0.93</v>
      </c>
      <c r="S1001" s="5">
        <v>4.65E-2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0605A-6B42-44D3-9CB9-06D82735C81A}">
  <dimension ref="A1:U1001"/>
  <sheetViews>
    <sheetView topLeftCell="B1" workbookViewId="0">
      <selection activeCell="V9" sqref="V9"/>
    </sheetView>
  </sheetViews>
  <sheetFormatPr defaultRowHeight="14.4" x14ac:dyDescent="0.3"/>
  <cols>
    <col min="1" max="1" width="14.44140625" bestFit="1" customWidth="1"/>
    <col min="2" max="2" width="19.5546875" bestFit="1" customWidth="1"/>
    <col min="3" max="3" width="9.109375" hidden="1" customWidth="1"/>
    <col min="4" max="4" width="9.77734375" customWidth="1"/>
    <col min="5" max="5" width="6.21875" bestFit="1" customWidth="1"/>
    <col min="6" max="6" width="14.5546875" bestFit="1" customWidth="1"/>
    <col min="7" max="7" width="14" bestFit="1" customWidth="1"/>
    <col min="8" max="8" width="10.88671875" bestFit="1" customWidth="1"/>
    <col min="9" max="9" width="21.44140625" bestFit="1" customWidth="1"/>
    <col min="10" max="10" width="10.88671875" customWidth="1"/>
    <col min="11" max="11" width="12.44140625" customWidth="1"/>
    <col min="12" max="12" width="16.21875" style="1" customWidth="1"/>
    <col min="13" max="14" width="18.6640625" hidden="1" customWidth="1"/>
    <col min="15" max="15" width="8.109375" bestFit="1" customWidth="1"/>
    <col min="16" max="16" width="10.44140625" hidden="1" customWidth="1"/>
    <col min="17" max="17" width="18.109375" bestFit="1" customWidth="1"/>
    <col min="18" max="18" width="18.44140625" hidden="1" customWidth="1"/>
    <col min="19" max="20" width="10.88671875" style="2" customWidth="1"/>
    <col min="21" max="21" width="19.21875" hidden="1" customWidth="1"/>
    <col min="22" max="22" width="16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2100</v>
      </c>
      <c r="G1" t="s">
        <v>4</v>
      </c>
      <c r="H1" t="s">
        <v>5</v>
      </c>
      <c r="I1" t="s">
        <v>6</v>
      </c>
      <c r="J1" t="s">
        <v>7</v>
      </c>
      <c r="K1" t="s">
        <v>2099</v>
      </c>
      <c r="L1" s="1" t="s">
        <v>2064</v>
      </c>
      <c r="M1" t="s">
        <v>2062</v>
      </c>
      <c r="N1" t="s">
        <v>2063</v>
      </c>
      <c r="O1" t="s">
        <v>9</v>
      </c>
      <c r="P1" t="s">
        <v>10</v>
      </c>
      <c r="Q1" t="s">
        <v>2073</v>
      </c>
      <c r="R1" t="s">
        <v>11</v>
      </c>
      <c r="S1" s="2" t="s">
        <v>2074</v>
      </c>
      <c r="T1" s="2" t="s">
        <v>2101</v>
      </c>
      <c r="U1" t="s">
        <v>2075</v>
      </c>
    </row>
    <row r="2" spans="1:21" x14ac:dyDescent="0.3">
      <c r="A2" t="s">
        <v>13</v>
      </c>
      <c r="B2" t="s">
        <v>14</v>
      </c>
      <c r="C2" t="s">
        <v>15</v>
      </c>
      <c r="D2" t="s">
        <v>20</v>
      </c>
      <c r="E2">
        <v>26</v>
      </c>
      <c r="F2" t="str">
        <f t="shared" ref="F2:F65" si="0">IF(OR($E2="",NOT(ISNUMBER($E2))),"",
 IF($E2&lt;=20,"11 to 20",
 IF($E2&lt;=30,"21 to 30",
 IF($E2&lt;=40,"31 to 40",
 IF($E2&lt;=50,"41 to 50",
 IF($E2&lt;=60,"51 to 60"))))))</f>
        <v>21 to 30</v>
      </c>
      <c r="G2" t="s">
        <v>16</v>
      </c>
      <c r="H2" t="s">
        <v>17</v>
      </c>
      <c r="I2" t="s">
        <v>18</v>
      </c>
      <c r="K2" t="str">
        <f t="shared" ref="K2:K65" si="1">IF(OR($J2="",NOT(ISNUMBER($J2))),"",
 IF($J2&lt;=10,"0 to 10",
 IF($J2&lt;=20,"11 to 20",
 IF($J2&lt;=30,"21 to 30",
 IF($J2&lt;=40,"31 to 40",
 "40+")))))</f>
        <v/>
      </c>
      <c r="L2" s="1">
        <v>75</v>
      </c>
      <c r="M2" t="s">
        <v>2065</v>
      </c>
      <c r="N2" t="s">
        <v>2066</v>
      </c>
      <c r="O2">
        <v>2.1</v>
      </c>
      <c r="P2" t="s">
        <v>19</v>
      </c>
      <c r="Q2" t="s">
        <v>2076</v>
      </c>
      <c r="T2" s="2" t="str">
        <f t="shared" ref="T2:T65" si="2">IF(OR($S2="",NOT(ISNUMBER($S2))),"",
 IF($S2&lt;=0.6,"50% to 60%",
 IF($S2&lt;=0.7,"61% to 70 %",
 IF($S2&lt;=0.8,"71% to 80%",
 IF($S2&lt;=0.9,"81% to 90%",
 IF($S2&lt;=1,"91% to 100%"))))))</f>
        <v/>
      </c>
    </row>
    <row r="3" spans="1:21" x14ac:dyDescent="0.3">
      <c r="A3" t="s">
        <v>21</v>
      </c>
      <c r="B3" t="s">
        <v>22</v>
      </c>
      <c r="C3" t="s">
        <v>15</v>
      </c>
      <c r="D3" t="s">
        <v>20</v>
      </c>
      <c r="E3">
        <v>52</v>
      </c>
      <c r="F3" t="str">
        <f t="shared" si="0"/>
        <v>51 to 60</v>
      </c>
      <c r="G3" t="s">
        <v>23</v>
      </c>
      <c r="H3" t="s">
        <v>24</v>
      </c>
      <c r="I3" t="s">
        <v>18</v>
      </c>
      <c r="J3">
        <v>7</v>
      </c>
      <c r="K3" t="str">
        <f t="shared" si="1"/>
        <v>0 to 10</v>
      </c>
      <c r="L3" s="1">
        <v>40</v>
      </c>
      <c r="M3" t="s">
        <v>2067</v>
      </c>
      <c r="O3">
        <v>2.2000000000000002</v>
      </c>
      <c r="R3">
        <v>0.96</v>
      </c>
      <c r="S3" s="2">
        <v>0.96</v>
      </c>
      <c r="T3" s="2" t="str">
        <f t="shared" si="2"/>
        <v>91% to 100%</v>
      </c>
    </row>
    <row r="4" spans="1:21" x14ac:dyDescent="0.3">
      <c r="A4" t="s">
        <v>25</v>
      </c>
      <c r="B4" t="s">
        <v>26</v>
      </c>
      <c r="C4" t="s">
        <v>15</v>
      </c>
      <c r="D4" t="s">
        <v>20</v>
      </c>
      <c r="E4">
        <v>50</v>
      </c>
      <c r="F4" t="str">
        <f t="shared" si="0"/>
        <v>41 to 50</v>
      </c>
      <c r="G4" t="s">
        <v>27</v>
      </c>
      <c r="H4" t="s">
        <v>28</v>
      </c>
      <c r="I4" t="s">
        <v>18</v>
      </c>
      <c r="J4">
        <v>20</v>
      </c>
      <c r="K4" t="str">
        <f t="shared" si="1"/>
        <v>11 to 20</v>
      </c>
      <c r="L4" s="1">
        <v>30</v>
      </c>
      <c r="M4" t="s">
        <v>2068</v>
      </c>
      <c r="N4" t="s">
        <v>2069</v>
      </c>
      <c r="O4">
        <v>0</v>
      </c>
      <c r="P4">
        <v>0</v>
      </c>
      <c r="Q4" t="s">
        <v>2077</v>
      </c>
      <c r="T4" s="2" t="str">
        <f t="shared" si="2"/>
        <v/>
      </c>
    </row>
    <row r="5" spans="1:21" x14ac:dyDescent="0.3">
      <c r="A5" t="s">
        <v>29</v>
      </c>
      <c r="B5" t="s">
        <v>30</v>
      </c>
      <c r="C5" t="s">
        <v>15</v>
      </c>
      <c r="D5" t="s">
        <v>20</v>
      </c>
      <c r="E5">
        <v>49</v>
      </c>
      <c r="F5" t="str">
        <f t="shared" si="0"/>
        <v>41 to 50</v>
      </c>
      <c r="G5" t="s">
        <v>31</v>
      </c>
      <c r="H5" t="s">
        <v>32</v>
      </c>
      <c r="I5" t="s">
        <v>33</v>
      </c>
      <c r="J5">
        <v>24</v>
      </c>
      <c r="K5" t="str">
        <f t="shared" si="1"/>
        <v>21 to 30</v>
      </c>
      <c r="L5" s="1">
        <v>100</v>
      </c>
      <c r="M5" t="s">
        <v>2070</v>
      </c>
      <c r="O5">
        <v>4.7</v>
      </c>
      <c r="P5">
        <v>0</v>
      </c>
      <c r="Q5" t="s">
        <v>2077</v>
      </c>
      <c r="R5">
        <v>0.6</v>
      </c>
      <c r="S5" s="2">
        <v>0.6</v>
      </c>
      <c r="T5" s="2" t="str">
        <f t="shared" si="2"/>
        <v>50% to 60%</v>
      </c>
    </row>
    <row r="6" spans="1:21" x14ac:dyDescent="0.3">
      <c r="A6" t="s">
        <v>34</v>
      </c>
      <c r="B6" t="s">
        <v>35</v>
      </c>
      <c r="C6" t="s">
        <v>36</v>
      </c>
      <c r="D6" t="s">
        <v>20</v>
      </c>
      <c r="E6">
        <v>48</v>
      </c>
      <c r="F6" t="str">
        <f t="shared" si="0"/>
        <v>41 to 50</v>
      </c>
      <c r="G6" t="s">
        <v>37</v>
      </c>
      <c r="H6" t="s">
        <v>38</v>
      </c>
      <c r="I6" t="s">
        <v>39</v>
      </c>
      <c r="J6">
        <v>19</v>
      </c>
      <c r="K6" t="str">
        <f t="shared" si="1"/>
        <v>11 to 20</v>
      </c>
      <c r="L6" s="1">
        <v>40</v>
      </c>
      <c r="M6" t="s">
        <v>2067</v>
      </c>
      <c r="O6">
        <v>1.5</v>
      </c>
      <c r="P6">
        <v>0</v>
      </c>
      <c r="Q6" t="s">
        <v>2077</v>
      </c>
      <c r="R6">
        <v>0.87</v>
      </c>
      <c r="S6" s="2">
        <v>0.87</v>
      </c>
      <c r="T6" s="2" t="str">
        <f t="shared" si="2"/>
        <v>81% to 90%</v>
      </c>
    </row>
    <row r="7" spans="1:21" x14ac:dyDescent="0.3">
      <c r="A7" t="s">
        <v>40</v>
      </c>
      <c r="B7" t="s">
        <v>41</v>
      </c>
      <c r="C7" t="s">
        <v>15</v>
      </c>
      <c r="D7" t="s">
        <v>20</v>
      </c>
      <c r="E7">
        <v>51</v>
      </c>
      <c r="F7" t="str">
        <f t="shared" si="0"/>
        <v>51 to 60</v>
      </c>
      <c r="G7" t="s">
        <v>42</v>
      </c>
      <c r="H7" t="s">
        <v>43</v>
      </c>
      <c r="I7" t="s">
        <v>39</v>
      </c>
      <c r="J7">
        <v>32</v>
      </c>
      <c r="K7" t="str">
        <f t="shared" si="1"/>
        <v>31 to 40</v>
      </c>
      <c r="L7" s="1">
        <v>50</v>
      </c>
      <c r="M7" t="s">
        <v>2065</v>
      </c>
      <c r="N7" t="s">
        <v>2071</v>
      </c>
      <c r="O7">
        <v>3.2</v>
      </c>
      <c r="P7">
        <v>0</v>
      </c>
      <c r="Q7" t="s">
        <v>2077</v>
      </c>
      <c r="R7">
        <v>88</v>
      </c>
      <c r="S7" s="2">
        <v>0.88</v>
      </c>
      <c r="T7" s="2" t="str">
        <f t="shared" si="2"/>
        <v>81% to 90%</v>
      </c>
      <c r="U7">
        <v>0.88</v>
      </c>
    </row>
    <row r="8" spans="1:21" x14ac:dyDescent="0.3">
      <c r="A8" t="s">
        <v>44</v>
      </c>
      <c r="B8" t="s">
        <v>45</v>
      </c>
      <c r="C8" t="s">
        <v>36</v>
      </c>
      <c r="D8" t="s">
        <v>20</v>
      </c>
      <c r="E8">
        <v>41</v>
      </c>
      <c r="F8" t="str">
        <f t="shared" si="0"/>
        <v>41 to 50</v>
      </c>
      <c r="G8" t="s">
        <v>46</v>
      </c>
      <c r="H8" t="s">
        <v>17</v>
      </c>
      <c r="I8" t="s">
        <v>47</v>
      </c>
      <c r="J8">
        <v>11</v>
      </c>
      <c r="K8" t="str">
        <f t="shared" si="1"/>
        <v>11 to 20</v>
      </c>
      <c r="L8" s="1">
        <v>40</v>
      </c>
      <c r="M8" t="s">
        <v>2065</v>
      </c>
      <c r="N8" t="s">
        <v>2067</v>
      </c>
      <c r="O8">
        <v>2.4</v>
      </c>
      <c r="P8" t="b">
        <v>0</v>
      </c>
      <c r="Q8" t="s">
        <v>2077</v>
      </c>
      <c r="T8" s="2" t="str">
        <f t="shared" si="2"/>
        <v/>
      </c>
    </row>
    <row r="9" spans="1:21" x14ac:dyDescent="0.3">
      <c r="A9" t="s">
        <v>48</v>
      </c>
      <c r="B9" t="s">
        <v>49</v>
      </c>
      <c r="C9" t="s">
        <v>15</v>
      </c>
      <c r="D9" t="s">
        <v>20</v>
      </c>
      <c r="E9">
        <v>43</v>
      </c>
      <c r="F9" t="str">
        <f t="shared" si="0"/>
        <v>41 to 50</v>
      </c>
      <c r="G9" t="s">
        <v>50</v>
      </c>
      <c r="H9" t="s">
        <v>51</v>
      </c>
      <c r="I9" t="s">
        <v>52</v>
      </c>
      <c r="J9">
        <v>6</v>
      </c>
      <c r="K9" t="str">
        <f t="shared" si="1"/>
        <v>0 to 10</v>
      </c>
      <c r="L9" s="1">
        <v>50</v>
      </c>
      <c r="M9" t="s">
        <v>2071</v>
      </c>
      <c r="P9" t="s">
        <v>53</v>
      </c>
      <c r="Q9" t="s">
        <v>2077</v>
      </c>
      <c r="R9">
        <v>0.77</v>
      </c>
      <c r="S9" s="2">
        <v>0.77</v>
      </c>
      <c r="T9" s="2" t="str">
        <f t="shared" si="2"/>
        <v>71% to 80%</v>
      </c>
    </row>
    <row r="10" spans="1:21" x14ac:dyDescent="0.3">
      <c r="A10" t="s">
        <v>54</v>
      </c>
      <c r="B10" t="s">
        <v>55</v>
      </c>
      <c r="C10" t="s">
        <v>36</v>
      </c>
      <c r="D10" t="s">
        <v>20</v>
      </c>
      <c r="E10">
        <v>53</v>
      </c>
      <c r="F10" t="str">
        <f t="shared" si="0"/>
        <v>51 to 60</v>
      </c>
      <c r="G10" t="s">
        <v>31</v>
      </c>
      <c r="H10" t="s">
        <v>32</v>
      </c>
      <c r="I10" t="s">
        <v>47</v>
      </c>
      <c r="J10">
        <v>21</v>
      </c>
      <c r="K10" t="str">
        <f t="shared" si="1"/>
        <v>21 to 30</v>
      </c>
      <c r="L10" s="1">
        <v>100</v>
      </c>
      <c r="M10" t="s">
        <v>2070</v>
      </c>
      <c r="O10">
        <v>3.4</v>
      </c>
      <c r="P10">
        <v>0</v>
      </c>
      <c r="Q10" t="s">
        <v>2077</v>
      </c>
      <c r="R10">
        <v>0.62</v>
      </c>
      <c r="S10" s="2">
        <v>0.62</v>
      </c>
      <c r="T10" s="2" t="str">
        <f t="shared" si="2"/>
        <v>61% to 70 %</v>
      </c>
    </row>
    <row r="11" spans="1:21" x14ac:dyDescent="0.3">
      <c r="A11" t="s">
        <v>56</v>
      </c>
      <c r="B11" t="s">
        <v>57</v>
      </c>
      <c r="C11" t="s">
        <v>15</v>
      </c>
      <c r="D11" t="s">
        <v>20</v>
      </c>
      <c r="E11">
        <v>57</v>
      </c>
      <c r="F11" t="str">
        <f t="shared" si="0"/>
        <v>51 to 60</v>
      </c>
      <c r="G11" t="s">
        <v>58</v>
      </c>
      <c r="H11" t="s">
        <v>59</v>
      </c>
      <c r="I11" t="s">
        <v>60</v>
      </c>
      <c r="J11">
        <v>29</v>
      </c>
      <c r="K11" t="str">
        <f t="shared" si="1"/>
        <v>21 to 30</v>
      </c>
      <c r="L11" s="1">
        <v>75</v>
      </c>
      <c r="M11" t="s">
        <v>2066</v>
      </c>
      <c r="O11">
        <v>4.0999999999999996</v>
      </c>
      <c r="P11" t="s">
        <v>53</v>
      </c>
      <c r="Q11" t="s">
        <v>2077</v>
      </c>
      <c r="R11">
        <v>0.9</v>
      </c>
      <c r="S11" s="2">
        <v>0.9</v>
      </c>
      <c r="T11" s="2" t="str">
        <f t="shared" si="2"/>
        <v>81% to 90%</v>
      </c>
    </row>
    <row r="12" spans="1:21" x14ac:dyDescent="0.3">
      <c r="A12" t="s">
        <v>61</v>
      </c>
      <c r="B12" t="s">
        <v>62</v>
      </c>
      <c r="C12" t="s">
        <v>36</v>
      </c>
      <c r="D12" t="s">
        <v>20</v>
      </c>
      <c r="E12">
        <v>22</v>
      </c>
      <c r="F12" t="str">
        <f t="shared" si="0"/>
        <v>21 to 30</v>
      </c>
      <c r="G12" t="s">
        <v>42</v>
      </c>
      <c r="H12" t="s">
        <v>43</v>
      </c>
      <c r="I12" t="s">
        <v>63</v>
      </c>
      <c r="J12">
        <v>4</v>
      </c>
      <c r="K12" t="str">
        <f t="shared" si="1"/>
        <v>0 to 10</v>
      </c>
      <c r="L12" s="1">
        <v>40</v>
      </c>
      <c r="M12" t="s">
        <v>2065</v>
      </c>
      <c r="N12" t="s">
        <v>2067</v>
      </c>
      <c r="O12">
        <v>3.8</v>
      </c>
      <c r="P12" t="b">
        <v>1</v>
      </c>
      <c r="Q12" t="s">
        <v>2076</v>
      </c>
      <c r="R12">
        <v>1</v>
      </c>
      <c r="S12" s="2">
        <v>1</v>
      </c>
      <c r="T12" s="2" t="str">
        <f t="shared" si="2"/>
        <v>91% to 100%</v>
      </c>
    </row>
    <row r="13" spans="1:21" x14ac:dyDescent="0.3">
      <c r="A13" t="s">
        <v>64</v>
      </c>
      <c r="B13" t="s">
        <v>65</v>
      </c>
      <c r="C13" t="s">
        <v>15</v>
      </c>
      <c r="D13" t="s">
        <v>20</v>
      </c>
      <c r="E13">
        <v>56</v>
      </c>
      <c r="F13" t="str">
        <f t="shared" si="0"/>
        <v>51 to 60</v>
      </c>
      <c r="G13" t="s">
        <v>37</v>
      </c>
      <c r="H13" t="s">
        <v>38</v>
      </c>
      <c r="I13" t="s">
        <v>66</v>
      </c>
      <c r="J13">
        <v>13</v>
      </c>
      <c r="K13" t="str">
        <f t="shared" si="1"/>
        <v>11 to 20</v>
      </c>
      <c r="L13" s="1">
        <v>100</v>
      </c>
      <c r="M13" t="s">
        <v>2070</v>
      </c>
      <c r="O13">
        <v>0</v>
      </c>
      <c r="P13" t="s">
        <v>67</v>
      </c>
      <c r="Q13" t="s">
        <v>2077</v>
      </c>
      <c r="R13">
        <v>0.68</v>
      </c>
      <c r="S13" s="2">
        <v>0.68</v>
      </c>
      <c r="T13" s="2" t="str">
        <f t="shared" si="2"/>
        <v>61% to 70 %</v>
      </c>
    </row>
    <row r="14" spans="1:21" x14ac:dyDescent="0.3">
      <c r="A14" t="s">
        <v>68</v>
      </c>
      <c r="B14" t="s">
        <v>69</v>
      </c>
      <c r="C14" t="s">
        <v>36</v>
      </c>
      <c r="D14" t="s">
        <v>20</v>
      </c>
      <c r="E14">
        <v>52</v>
      </c>
      <c r="F14" t="str">
        <f t="shared" si="0"/>
        <v>51 to 60</v>
      </c>
      <c r="G14" t="s">
        <v>42</v>
      </c>
      <c r="H14" t="s">
        <v>43</v>
      </c>
      <c r="I14" t="s">
        <v>60</v>
      </c>
      <c r="J14">
        <v>20</v>
      </c>
      <c r="K14" t="str">
        <f t="shared" si="1"/>
        <v>11 to 20</v>
      </c>
      <c r="L14" s="1">
        <v>50</v>
      </c>
      <c r="M14" t="s">
        <v>2071</v>
      </c>
      <c r="P14" t="b">
        <v>0</v>
      </c>
      <c r="Q14" t="s">
        <v>2077</v>
      </c>
      <c r="R14">
        <v>0.79</v>
      </c>
      <c r="S14" s="2">
        <v>0.79</v>
      </c>
      <c r="T14" s="2" t="str">
        <f t="shared" si="2"/>
        <v>71% to 80%</v>
      </c>
    </row>
    <row r="15" spans="1:21" x14ac:dyDescent="0.3">
      <c r="A15" t="s">
        <v>70</v>
      </c>
      <c r="B15" t="s">
        <v>71</v>
      </c>
      <c r="C15" t="s">
        <v>36</v>
      </c>
      <c r="D15" t="s">
        <v>20</v>
      </c>
      <c r="E15">
        <v>44</v>
      </c>
      <c r="F15" t="str">
        <f t="shared" si="0"/>
        <v>41 to 50</v>
      </c>
      <c r="G15" t="s">
        <v>42</v>
      </c>
      <c r="H15" t="s">
        <v>43</v>
      </c>
      <c r="I15" t="s">
        <v>47</v>
      </c>
      <c r="J15">
        <v>1</v>
      </c>
      <c r="K15" t="str">
        <f t="shared" si="1"/>
        <v>0 to 10</v>
      </c>
      <c r="L15" s="1">
        <v>75</v>
      </c>
      <c r="M15" t="s">
        <v>2066</v>
      </c>
      <c r="O15">
        <v>4.3</v>
      </c>
      <c r="P15">
        <v>1</v>
      </c>
      <c r="Q15" t="s">
        <v>2076</v>
      </c>
      <c r="T15" s="2" t="str">
        <f t="shared" si="2"/>
        <v/>
      </c>
    </row>
    <row r="16" spans="1:21" x14ac:dyDescent="0.3">
      <c r="A16" t="s">
        <v>72</v>
      </c>
      <c r="B16" t="s">
        <v>73</v>
      </c>
      <c r="C16" t="s">
        <v>36</v>
      </c>
      <c r="D16" t="s">
        <v>20</v>
      </c>
      <c r="E16">
        <v>20</v>
      </c>
      <c r="F16" t="str">
        <f t="shared" si="0"/>
        <v>11 to 20</v>
      </c>
      <c r="G16" t="s">
        <v>42</v>
      </c>
      <c r="H16" t="s">
        <v>43</v>
      </c>
      <c r="I16" t="s">
        <v>52</v>
      </c>
      <c r="J16">
        <v>0</v>
      </c>
      <c r="K16" t="str">
        <f t="shared" si="1"/>
        <v>0 to 10</v>
      </c>
      <c r="L16" s="1">
        <v>30</v>
      </c>
      <c r="M16" t="s">
        <v>2069</v>
      </c>
      <c r="O16">
        <v>3.8</v>
      </c>
      <c r="R16">
        <v>0.93</v>
      </c>
      <c r="S16" s="2">
        <v>0.93</v>
      </c>
      <c r="T16" s="2" t="str">
        <f t="shared" si="2"/>
        <v>91% to 100%</v>
      </c>
    </row>
    <row r="17" spans="1:21" x14ac:dyDescent="0.3">
      <c r="A17" t="s">
        <v>74</v>
      </c>
      <c r="B17" t="s">
        <v>75</v>
      </c>
      <c r="C17" t="s">
        <v>76</v>
      </c>
      <c r="D17" t="s">
        <v>80</v>
      </c>
      <c r="E17">
        <v>56</v>
      </c>
      <c r="F17" t="str">
        <f t="shared" si="0"/>
        <v>51 to 60</v>
      </c>
      <c r="G17" t="s">
        <v>77</v>
      </c>
      <c r="H17" t="s">
        <v>78</v>
      </c>
      <c r="I17" t="s">
        <v>79</v>
      </c>
      <c r="J17">
        <v>32</v>
      </c>
      <c r="K17" t="str">
        <f t="shared" si="1"/>
        <v>31 to 40</v>
      </c>
      <c r="L17" s="1">
        <v>40</v>
      </c>
      <c r="M17" t="s">
        <v>2068</v>
      </c>
      <c r="N17" t="s">
        <v>2067</v>
      </c>
      <c r="O17">
        <v>0</v>
      </c>
      <c r="P17">
        <v>1</v>
      </c>
      <c r="Q17" t="s">
        <v>2076</v>
      </c>
      <c r="R17">
        <v>0.86</v>
      </c>
      <c r="S17" s="2">
        <v>0.86</v>
      </c>
      <c r="T17" s="2" t="str">
        <f t="shared" si="2"/>
        <v>81% to 90%</v>
      </c>
    </row>
    <row r="18" spans="1:21" x14ac:dyDescent="0.3">
      <c r="A18" t="s">
        <v>81</v>
      </c>
      <c r="B18" t="s">
        <v>82</v>
      </c>
      <c r="C18" t="s">
        <v>15</v>
      </c>
      <c r="D18" t="s">
        <v>20</v>
      </c>
      <c r="E18">
        <v>47</v>
      </c>
      <c r="F18" t="str">
        <f t="shared" si="0"/>
        <v>41 to 50</v>
      </c>
      <c r="G18" t="s">
        <v>83</v>
      </c>
      <c r="H18" t="s">
        <v>84</v>
      </c>
      <c r="I18" t="s">
        <v>47</v>
      </c>
      <c r="J18">
        <v>13</v>
      </c>
      <c r="K18" t="str">
        <f t="shared" si="1"/>
        <v>11 to 20</v>
      </c>
      <c r="L18" s="1">
        <v>40</v>
      </c>
      <c r="M18" t="s">
        <v>2067</v>
      </c>
      <c r="O18">
        <v>3.4</v>
      </c>
      <c r="R18">
        <v>0.67</v>
      </c>
      <c r="S18" s="2">
        <v>0.67</v>
      </c>
      <c r="T18" s="2" t="str">
        <f t="shared" si="2"/>
        <v>61% to 70 %</v>
      </c>
    </row>
    <row r="19" spans="1:21" x14ac:dyDescent="0.3">
      <c r="A19" t="s">
        <v>85</v>
      </c>
      <c r="B19" t="s">
        <v>86</v>
      </c>
      <c r="C19" t="s">
        <v>15</v>
      </c>
      <c r="D19" t="s">
        <v>20</v>
      </c>
      <c r="E19">
        <v>21</v>
      </c>
      <c r="F19" t="str">
        <f t="shared" si="0"/>
        <v>21 to 30</v>
      </c>
      <c r="G19" t="s">
        <v>87</v>
      </c>
      <c r="H19" t="s">
        <v>88</v>
      </c>
      <c r="I19" t="s">
        <v>79</v>
      </c>
      <c r="J19">
        <v>2</v>
      </c>
      <c r="K19" t="str">
        <f t="shared" si="1"/>
        <v>0 to 10</v>
      </c>
      <c r="L19" s="1">
        <v>100</v>
      </c>
      <c r="M19" t="s">
        <v>2070</v>
      </c>
      <c r="O19">
        <v>3.6</v>
      </c>
      <c r="P19" t="b">
        <v>0</v>
      </c>
      <c r="Q19" t="s">
        <v>2077</v>
      </c>
      <c r="R19">
        <v>85</v>
      </c>
      <c r="S19" s="2">
        <v>0.85</v>
      </c>
      <c r="T19" s="2" t="str">
        <f t="shared" si="2"/>
        <v>81% to 90%</v>
      </c>
      <c r="U19">
        <v>0.85</v>
      </c>
    </row>
    <row r="20" spans="1:21" x14ac:dyDescent="0.3">
      <c r="A20" t="s">
        <v>89</v>
      </c>
      <c r="B20" t="s">
        <v>90</v>
      </c>
      <c r="C20" t="s">
        <v>15</v>
      </c>
      <c r="D20" t="s">
        <v>20</v>
      </c>
      <c r="E20">
        <v>21</v>
      </c>
      <c r="F20" t="str">
        <f t="shared" si="0"/>
        <v>21 to 30</v>
      </c>
      <c r="G20" t="s">
        <v>91</v>
      </c>
      <c r="H20" t="s">
        <v>59</v>
      </c>
      <c r="I20" t="s">
        <v>79</v>
      </c>
      <c r="J20">
        <v>0</v>
      </c>
      <c r="K20" t="str">
        <f t="shared" si="1"/>
        <v>0 to 10</v>
      </c>
      <c r="L20" s="1">
        <v>100</v>
      </c>
      <c r="M20" t="s">
        <v>2068</v>
      </c>
      <c r="N20" t="s">
        <v>2070</v>
      </c>
      <c r="O20">
        <v>3</v>
      </c>
      <c r="P20" t="s">
        <v>53</v>
      </c>
      <c r="Q20" t="s">
        <v>2077</v>
      </c>
      <c r="R20">
        <v>0.64</v>
      </c>
      <c r="S20" s="2">
        <v>0.64</v>
      </c>
      <c r="T20" s="2" t="str">
        <f t="shared" si="2"/>
        <v>61% to 70 %</v>
      </c>
    </row>
    <row r="21" spans="1:21" x14ac:dyDescent="0.3">
      <c r="A21" t="s">
        <v>92</v>
      </c>
      <c r="B21" t="s">
        <v>93</v>
      </c>
      <c r="C21" t="s">
        <v>76</v>
      </c>
      <c r="D21" t="s">
        <v>80</v>
      </c>
      <c r="E21">
        <v>40</v>
      </c>
      <c r="F21" t="str">
        <f t="shared" si="0"/>
        <v>31 to 40</v>
      </c>
      <c r="G21" t="s">
        <v>23</v>
      </c>
      <c r="H21" t="s">
        <v>24</v>
      </c>
      <c r="I21" t="s">
        <v>18</v>
      </c>
      <c r="J21">
        <v>14</v>
      </c>
      <c r="K21" t="str">
        <f t="shared" si="1"/>
        <v>11 to 20</v>
      </c>
      <c r="L21" s="1">
        <v>75</v>
      </c>
      <c r="M21" t="s">
        <v>2066</v>
      </c>
      <c r="O21">
        <v>0</v>
      </c>
      <c r="P21">
        <v>1</v>
      </c>
      <c r="Q21" t="s">
        <v>2076</v>
      </c>
      <c r="R21">
        <v>0.79</v>
      </c>
      <c r="S21" s="2">
        <v>0.79</v>
      </c>
      <c r="T21" s="2" t="str">
        <f t="shared" si="2"/>
        <v>71% to 80%</v>
      </c>
    </row>
    <row r="22" spans="1:21" x14ac:dyDescent="0.3">
      <c r="A22" t="s">
        <v>94</v>
      </c>
      <c r="B22" t="s">
        <v>95</v>
      </c>
      <c r="C22" t="s">
        <v>76</v>
      </c>
      <c r="D22" t="s">
        <v>80</v>
      </c>
      <c r="E22">
        <v>36</v>
      </c>
      <c r="F22" t="str">
        <f t="shared" si="0"/>
        <v>31 to 40</v>
      </c>
      <c r="G22" t="s">
        <v>50</v>
      </c>
      <c r="H22" t="s">
        <v>51</v>
      </c>
      <c r="I22" t="s">
        <v>79</v>
      </c>
      <c r="J22">
        <v>11</v>
      </c>
      <c r="K22" t="str">
        <f t="shared" si="1"/>
        <v>11 to 20</v>
      </c>
      <c r="O22">
        <v>1.8</v>
      </c>
      <c r="P22" t="s">
        <v>96</v>
      </c>
      <c r="Q22" t="s">
        <v>2076</v>
      </c>
      <c r="R22">
        <v>0.86</v>
      </c>
      <c r="S22" s="2">
        <v>0.86</v>
      </c>
      <c r="T22" s="2" t="str">
        <f t="shared" si="2"/>
        <v>81% to 90%</v>
      </c>
    </row>
    <row r="23" spans="1:21" x14ac:dyDescent="0.3">
      <c r="A23" t="s">
        <v>97</v>
      </c>
      <c r="B23" t="s">
        <v>98</v>
      </c>
      <c r="C23" t="s">
        <v>76</v>
      </c>
      <c r="D23" t="s">
        <v>80</v>
      </c>
      <c r="E23">
        <v>57</v>
      </c>
      <c r="F23" t="str">
        <f t="shared" si="0"/>
        <v>51 to 60</v>
      </c>
      <c r="G23" t="s">
        <v>58</v>
      </c>
      <c r="H23" t="s">
        <v>59</v>
      </c>
      <c r="I23" t="s">
        <v>60</v>
      </c>
      <c r="J23">
        <v>18</v>
      </c>
      <c r="K23" t="str">
        <f t="shared" si="1"/>
        <v>11 to 20</v>
      </c>
      <c r="O23">
        <v>2</v>
      </c>
      <c r="P23">
        <v>0</v>
      </c>
      <c r="Q23" t="s">
        <v>2077</v>
      </c>
      <c r="R23">
        <v>0.86</v>
      </c>
      <c r="S23" s="2">
        <v>0.86</v>
      </c>
      <c r="T23" s="2" t="str">
        <f t="shared" si="2"/>
        <v>81% to 90%</v>
      </c>
    </row>
    <row r="24" spans="1:21" x14ac:dyDescent="0.3">
      <c r="A24" t="s">
        <v>99</v>
      </c>
      <c r="B24" t="s">
        <v>100</v>
      </c>
      <c r="C24" t="s">
        <v>76</v>
      </c>
      <c r="D24" t="s">
        <v>80</v>
      </c>
      <c r="E24">
        <v>46</v>
      </c>
      <c r="F24" t="str">
        <f t="shared" si="0"/>
        <v>41 to 50</v>
      </c>
      <c r="G24" t="s">
        <v>101</v>
      </c>
      <c r="H24" t="s">
        <v>59</v>
      </c>
      <c r="I24" t="s">
        <v>60</v>
      </c>
      <c r="J24">
        <v>25</v>
      </c>
      <c r="K24" t="str">
        <f t="shared" si="1"/>
        <v>21 to 30</v>
      </c>
      <c r="L24" s="1">
        <v>100</v>
      </c>
      <c r="M24" t="s">
        <v>2065</v>
      </c>
      <c r="N24" t="s">
        <v>2070</v>
      </c>
      <c r="O24">
        <v>1.3</v>
      </c>
      <c r="P24" t="s">
        <v>67</v>
      </c>
      <c r="Q24" t="s">
        <v>2077</v>
      </c>
      <c r="R24">
        <v>0.8</v>
      </c>
      <c r="S24" s="2">
        <v>0.8</v>
      </c>
      <c r="T24" s="2" t="str">
        <f t="shared" si="2"/>
        <v>71% to 80%</v>
      </c>
    </row>
    <row r="25" spans="1:21" x14ac:dyDescent="0.3">
      <c r="A25" t="s">
        <v>102</v>
      </c>
      <c r="B25" t="s">
        <v>103</v>
      </c>
      <c r="C25" t="s">
        <v>36</v>
      </c>
      <c r="D25" t="s">
        <v>20</v>
      </c>
      <c r="F25" t="str">
        <f t="shared" si="0"/>
        <v/>
      </c>
      <c r="G25" t="s">
        <v>104</v>
      </c>
      <c r="H25" t="s">
        <v>105</v>
      </c>
      <c r="I25" t="s">
        <v>66</v>
      </c>
      <c r="J25">
        <v>0</v>
      </c>
      <c r="K25" t="str">
        <f t="shared" si="1"/>
        <v>0 to 10</v>
      </c>
      <c r="L25" s="1">
        <v>100</v>
      </c>
      <c r="M25" t="s">
        <v>2065</v>
      </c>
      <c r="N25" t="s">
        <v>2070</v>
      </c>
      <c r="O25">
        <v>5</v>
      </c>
      <c r="P25" t="s">
        <v>53</v>
      </c>
      <c r="Q25" t="s">
        <v>2077</v>
      </c>
      <c r="T25" s="2" t="str">
        <f t="shared" si="2"/>
        <v/>
      </c>
    </row>
    <row r="26" spans="1:21" x14ac:dyDescent="0.3">
      <c r="A26" t="s">
        <v>106</v>
      </c>
      <c r="B26" t="s">
        <v>107</v>
      </c>
      <c r="C26" t="s">
        <v>15</v>
      </c>
      <c r="D26" t="s">
        <v>20</v>
      </c>
      <c r="E26">
        <v>45</v>
      </c>
      <c r="F26" t="str">
        <f t="shared" si="0"/>
        <v>41 to 50</v>
      </c>
      <c r="G26" t="s">
        <v>42</v>
      </c>
      <c r="H26" t="s">
        <v>43</v>
      </c>
      <c r="I26" t="s">
        <v>108</v>
      </c>
      <c r="K26" t="str">
        <f t="shared" si="1"/>
        <v/>
      </c>
      <c r="L26" s="1">
        <v>20</v>
      </c>
      <c r="M26" t="s">
        <v>2068</v>
      </c>
      <c r="N26" t="s">
        <v>2072</v>
      </c>
      <c r="O26">
        <v>3.3</v>
      </c>
      <c r="P26" t="b">
        <v>1</v>
      </c>
      <c r="Q26" t="s">
        <v>2076</v>
      </c>
      <c r="R26">
        <v>0.93</v>
      </c>
      <c r="S26" s="2">
        <v>0.93</v>
      </c>
      <c r="T26" s="2" t="str">
        <f t="shared" si="2"/>
        <v>91% to 100%</v>
      </c>
    </row>
    <row r="27" spans="1:21" x14ac:dyDescent="0.3">
      <c r="A27" t="s">
        <v>109</v>
      </c>
      <c r="B27" t="s">
        <v>110</v>
      </c>
      <c r="C27" t="s">
        <v>111</v>
      </c>
      <c r="D27" t="s">
        <v>80</v>
      </c>
      <c r="E27">
        <v>26</v>
      </c>
      <c r="F27" t="str">
        <f t="shared" si="0"/>
        <v>21 to 30</v>
      </c>
      <c r="G27" t="s">
        <v>87</v>
      </c>
      <c r="H27" t="s">
        <v>88</v>
      </c>
      <c r="I27" t="s">
        <v>39</v>
      </c>
      <c r="J27">
        <v>2</v>
      </c>
      <c r="K27" t="str">
        <f t="shared" si="1"/>
        <v>0 to 10</v>
      </c>
      <c r="L27" s="1">
        <v>20</v>
      </c>
      <c r="M27" t="s">
        <v>2072</v>
      </c>
      <c r="O27">
        <v>1.3</v>
      </c>
      <c r="P27" t="s">
        <v>67</v>
      </c>
      <c r="Q27" t="s">
        <v>2077</v>
      </c>
      <c r="R27">
        <v>0.83</v>
      </c>
      <c r="S27" s="2">
        <v>0.83</v>
      </c>
      <c r="T27" s="2" t="str">
        <f t="shared" si="2"/>
        <v>81% to 90%</v>
      </c>
    </row>
    <row r="28" spans="1:21" x14ac:dyDescent="0.3">
      <c r="A28" t="s">
        <v>112</v>
      </c>
      <c r="B28" t="s">
        <v>113</v>
      </c>
      <c r="C28" t="s">
        <v>76</v>
      </c>
      <c r="D28" t="s">
        <v>80</v>
      </c>
      <c r="E28">
        <v>35</v>
      </c>
      <c r="F28" t="str">
        <f t="shared" si="0"/>
        <v>31 to 40</v>
      </c>
      <c r="G28" t="s">
        <v>104</v>
      </c>
      <c r="H28" t="s">
        <v>105</v>
      </c>
      <c r="I28" t="s">
        <v>47</v>
      </c>
      <c r="J28">
        <v>10</v>
      </c>
      <c r="K28" t="str">
        <f t="shared" si="1"/>
        <v>0 to 10</v>
      </c>
      <c r="L28" s="1">
        <v>75</v>
      </c>
      <c r="M28" t="s">
        <v>2066</v>
      </c>
      <c r="O28">
        <v>0</v>
      </c>
      <c r="R28">
        <v>0.74</v>
      </c>
      <c r="S28" s="2">
        <v>0.74</v>
      </c>
      <c r="T28" s="2" t="str">
        <f t="shared" si="2"/>
        <v>71% to 80%</v>
      </c>
    </row>
    <row r="29" spans="1:21" x14ac:dyDescent="0.3">
      <c r="A29" t="s">
        <v>114</v>
      </c>
      <c r="B29" t="s">
        <v>115</v>
      </c>
      <c r="C29" t="s">
        <v>76</v>
      </c>
      <c r="D29" t="s">
        <v>80</v>
      </c>
      <c r="E29">
        <v>36</v>
      </c>
      <c r="F29" t="str">
        <f t="shared" si="0"/>
        <v>31 to 40</v>
      </c>
      <c r="G29" t="s">
        <v>31</v>
      </c>
      <c r="H29" t="s">
        <v>32</v>
      </c>
      <c r="I29" t="s">
        <v>63</v>
      </c>
      <c r="J29">
        <v>13</v>
      </c>
      <c r="K29" t="str">
        <f t="shared" si="1"/>
        <v>11 to 20</v>
      </c>
      <c r="L29" s="1">
        <v>75</v>
      </c>
      <c r="M29" t="s">
        <v>2066</v>
      </c>
      <c r="P29">
        <v>1</v>
      </c>
      <c r="Q29" t="s">
        <v>2076</v>
      </c>
      <c r="T29" s="2" t="str">
        <f t="shared" si="2"/>
        <v/>
      </c>
    </row>
    <row r="30" spans="1:21" x14ac:dyDescent="0.3">
      <c r="A30" t="s">
        <v>116</v>
      </c>
      <c r="B30" t="s">
        <v>117</v>
      </c>
      <c r="C30" t="s">
        <v>76</v>
      </c>
      <c r="D30" t="s">
        <v>80</v>
      </c>
      <c r="E30">
        <v>43</v>
      </c>
      <c r="F30" t="str">
        <f t="shared" si="0"/>
        <v>41 to 50</v>
      </c>
      <c r="G30" t="s">
        <v>118</v>
      </c>
      <c r="H30" t="s">
        <v>119</v>
      </c>
      <c r="I30" t="s">
        <v>63</v>
      </c>
      <c r="J30">
        <v>2</v>
      </c>
      <c r="K30" t="str">
        <f t="shared" si="1"/>
        <v>0 to 10</v>
      </c>
      <c r="L30" s="1">
        <v>40</v>
      </c>
      <c r="M30" t="s">
        <v>2065</v>
      </c>
      <c r="N30" t="s">
        <v>2067</v>
      </c>
      <c r="O30">
        <v>0</v>
      </c>
      <c r="P30" t="s">
        <v>19</v>
      </c>
      <c r="Q30" t="s">
        <v>2076</v>
      </c>
      <c r="R30">
        <v>0.89</v>
      </c>
      <c r="S30" s="2">
        <v>0.89</v>
      </c>
      <c r="T30" s="2" t="str">
        <f t="shared" si="2"/>
        <v>81% to 90%</v>
      </c>
    </row>
    <row r="31" spans="1:21" x14ac:dyDescent="0.3">
      <c r="A31" t="s">
        <v>120</v>
      </c>
      <c r="B31" t="s">
        <v>121</v>
      </c>
      <c r="C31" t="s">
        <v>76</v>
      </c>
      <c r="D31" t="s">
        <v>80</v>
      </c>
      <c r="E31">
        <v>40</v>
      </c>
      <c r="F31" t="str">
        <f t="shared" si="0"/>
        <v>31 to 40</v>
      </c>
      <c r="G31" t="s">
        <v>16</v>
      </c>
      <c r="H31" t="s">
        <v>17</v>
      </c>
      <c r="I31" t="s">
        <v>18</v>
      </c>
      <c r="J31">
        <v>20</v>
      </c>
      <c r="K31" t="str">
        <f t="shared" si="1"/>
        <v>11 to 20</v>
      </c>
      <c r="L31" s="1">
        <v>30</v>
      </c>
      <c r="M31" t="s">
        <v>2068</v>
      </c>
      <c r="N31" t="s">
        <v>2069</v>
      </c>
      <c r="P31" t="b">
        <v>0</v>
      </c>
      <c r="Q31" t="s">
        <v>2077</v>
      </c>
      <c r="R31">
        <v>90</v>
      </c>
      <c r="S31" s="2">
        <v>0.9</v>
      </c>
      <c r="T31" s="2" t="str">
        <f t="shared" si="2"/>
        <v>81% to 90%</v>
      </c>
      <c r="U31">
        <v>0.9</v>
      </c>
    </row>
    <row r="32" spans="1:21" x14ac:dyDescent="0.3">
      <c r="A32" t="s">
        <v>122</v>
      </c>
      <c r="B32" t="s">
        <v>123</v>
      </c>
      <c r="C32" t="s">
        <v>111</v>
      </c>
      <c r="D32" t="s">
        <v>80</v>
      </c>
      <c r="E32">
        <v>55</v>
      </c>
      <c r="F32" t="str">
        <f t="shared" si="0"/>
        <v>51 to 60</v>
      </c>
      <c r="G32" t="s">
        <v>87</v>
      </c>
      <c r="H32" t="s">
        <v>88</v>
      </c>
      <c r="I32" t="s">
        <v>108</v>
      </c>
      <c r="J32">
        <v>3</v>
      </c>
      <c r="K32" t="str">
        <f t="shared" si="1"/>
        <v>0 to 10</v>
      </c>
      <c r="L32" s="1">
        <v>100</v>
      </c>
      <c r="M32" t="s">
        <v>2070</v>
      </c>
      <c r="P32">
        <v>1</v>
      </c>
      <c r="Q32" t="s">
        <v>2076</v>
      </c>
      <c r="R32">
        <v>0.73</v>
      </c>
      <c r="S32" s="2">
        <v>0.73</v>
      </c>
      <c r="T32" s="2" t="str">
        <f t="shared" si="2"/>
        <v>71% to 80%</v>
      </c>
    </row>
    <row r="33" spans="1:20" x14ac:dyDescent="0.3">
      <c r="A33" t="s">
        <v>124</v>
      </c>
      <c r="B33" t="s">
        <v>125</v>
      </c>
      <c r="C33" t="s">
        <v>76</v>
      </c>
      <c r="D33" t="s">
        <v>80</v>
      </c>
      <c r="E33">
        <v>57</v>
      </c>
      <c r="F33" t="str">
        <f t="shared" si="0"/>
        <v>51 to 60</v>
      </c>
      <c r="G33" t="s">
        <v>101</v>
      </c>
      <c r="H33" t="s">
        <v>59</v>
      </c>
      <c r="I33" t="s">
        <v>79</v>
      </c>
      <c r="J33">
        <v>17</v>
      </c>
      <c r="K33" t="str">
        <f t="shared" si="1"/>
        <v>11 to 20</v>
      </c>
      <c r="L33" s="1">
        <v>20</v>
      </c>
      <c r="M33" t="s">
        <v>2072</v>
      </c>
      <c r="O33">
        <v>3.6</v>
      </c>
      <c r="P33">
        <v>0</v>
      </c>
      <c r="Q33" t="s">
        <v>2077</v>
      </c>
      <c r="R33">
        <v>0.63</v>
      </c>
      <c r="S33" s="2">
        <v>0.63</v>
      </c>
      <c r="T33" s="2" t="str">
        <f t="shared" si="2"/>
        <v>61% to 70 %</v>
      </c>
    </row>
    <row r="34" spans="1:20" x14ac:dyDescent="0.3">
      <c r="A34" t="s">
        <v>126</v>
      </c>
      <c r="B34" t="s">
        <v>127</v>
      </c>
      <c r="C34" t="s">
        <v>76</v>
      </c>
      <c r="D34" t="s">
        <v>80</v>
      </c>
      <c r="E34">
        <v>52</v>
      </c>
      <c r="F34" t="str">
        <f t="shared" si="0"/>
        <v>51 to 60</v>
      </c>
      <c r="G34" t="s">
        <v>42</v>
      </c>
      <c r="H34" t="s">
        <v>43</v>
      </c>
      <c r="I34" t="s">
        <v>33</v>
      </c>
      <c r="J34">
        <v>4</v>
      </c>
      <c r="K34" t="str">
        <f t="shared" si="1"/>
        <v>0 to 10</v>
      </c>
      <c r="L34" s="1">
        <v>50</v>
      </c>
      <c r="M34" t="s">
        <v>2071</v>
      </c>
      <c r="P34" t="s">
        <v>53</v>
      </c>
      <c r="Q34" t="s">
        <v>2077</v>
      </c>
      <c r="R34">
        <v>0.84</v>
      </c>
      <c r="S34" s="2">
        <v>0.84</v>
      </c>
      <c r="T34" s="2" t="str">
        <f t="shared" si="2"/>
        <v>81% to 90%</v>
      </c>
    </row>
    <row r="35" spans="1:20" x14ac:dyDescent="0.3">
      <c r="A35" t="s">
        <v>128</v>
      </c>
      <c r="B35" t="s">
        <v>129</v>
      </c>
      <c r="C35" t="s">
        <v>111</v>
      </c>
      <c r="D35" t="s">
        <v>80</v>
      </c>
      <c r="E35">
        <v>49</v>
      </c>
      <c r="F35" t="str">
        <f t="shared" si="0"/>
        <v>41 to 50</v>
      </c>
      <c r="G35" t="s">
        <v>91</v>
      </c>
      <c r="H35" t="s">
        <v>59</v>
      </c>
      <c r="I35" t="s">
        <v>39</v>
      </c>
      <c r="J35">
        <v>25</v>
      </c>
      <c r="K35" t="str">
        <f t="shared" si="1"/>
        <v>21 to 30</v>
      </c>
      <c r="L35" s="1">
        <v>30</v>
      </c>
      <c r="M35" t="s">
        <v>2065</v>
      </c>
      <c r="N35" t="s">
        <v>2069</v>
      </c>
      <c r="O35">
        <v>3.4</v>
      </c>
      <c r="P35">
        <v>0</v>
      </c>
      <c r="Q35" t="s">
        <v>2077</v>
      </c>
      <c r="R35">
        <v>0.75</v>
      </c>
      <c r="S35" s="2">
        <v>0.75</v>
      </c>
      <c r="T35" s="2" t="str">
        <f t="shared" si="2"/>
        <v>71% to 80%</v>
      </c>
    </row>
    <row r="36" spans="1:20" x14ac:dyDescent="0.3">
      <c r="A36" t="s">
        <v>130</v>
      </c>
      <c r="B36" t="s">
        <v>131</v>
      </c>
      <c r="C36" t="s">
        <v>76</v>
      </c>
      <c r="D36" t="s">
        <v>80</v>
      </c>
      <c r="E36">
        <v>25</v>
      </c>
      <c r="F36" t="str">
        <f t="shared" si="0"/>
        <v>21 to 30</v>
      </c>
      <c r="G36" t="s">
        <v>91</v>
      </c>
      <c r="H36" t="s">
        <v>59</v>
      </c>
      <c r="I36" t="s">
        <v>66</v>
      </c>
      <c r="J36">
        <v>1</v>
      </c>
      <c r="K36" t="str">
        <f t="shared" si="1"/>
        <v>0 to 10</v>
      </c>
      <c r="L36" s="1">
        <v>30</v>
      </c>
      <c r="M36" t="s">
        <v>2068</v>
      </c>
      <c r="N36" t="s">
        <v>2069</v>
      </c>
      <c r="O36">
        <v>3.2</v>
      </c>
      <c r="P36">
        <v>0</v>
      </c>
      <c r="Q36" t="s">
        <v>2077</v>
      </c>
      <c r="R36">
        <v>0.87</v>
      </c>
      <c r="S36" s="2">
        <v>0.87</v>
      </c>
      <c r="T36" s="2" t="str">
        <f t="shared" si="2"/>
        <v>81% to 90%</v>
      </c>
    </row>
    <row r="37" spans="1:20" x14ac:dyDescent="0.3">
      <c r="A37" t="s">
        <v>132</v>
      </c>
      <c r="B37" t="s">
        <v>131</v>
      </c>
      <c r="C37" t="s">
        <v>76</v>
      </c>
      <c r="D37" t="s">
        <v>80</v>
      </c>
      <c r="E37">
        <v>31</v>
      </c>
      <c r="F37" t="str">
        <f t="shared" si="0"/>
        <v>31 to 40</v>
      </c>
      <c r="G37" t="s">
        <v>83</v>
      </c>
      <c r="H37" t="s">
        <v>84</v>
      </c>
      <c r="I37" t="s">
        <v>52</v>
      </c>
      <c r="K37" t="str">
        <f t="shared" si="1"/>
        <v/>
      </c>
      <c r="L37" s="1">
        <v>50</v>
      </c>
      <c r="M37" t="s">
        <v>2071</v>
      </c>
      <c r="O37">
        <v>1.4</v>
      </c>
      <c r="P37" t="s">
        <v>67</v>
      </c>
      <c r="Q37" t="s">
        <v>2077</v>
      </c>
      <c r="R37">
        <v>0.8</v>
      </c>
      <c r="S37" s="2">
        <v>0.8</v>
      </c>
      <c r="T37" s="2" t="str">
        <f t="shared" si="2"/>
        <v>71% to 80%</v>
      </c>
    </row>
    <row r="38" spans="1:20" x14ac:dyDescent="0.3">
      <c r="A38" t="s">
        <v>133</v>
      </c>
      <c r="B38" t="s">
        <v>134</v>
      </c>
      <c r="C38" t="s">
        <v>111</v>
      </c>
      <c r="D38" t="s">
        <v>80</v>
      </c>
      <c r="E38">
        <v>31</v>
      </c>
      <c r="F38" t="str">
        <f t="shared" si="0"/>
        <v>31 to 40</v>
      </c>
      <c r="G38" t="s">
        <v>31</v>
      </c>
      <c r="H38" t="s">
        <v>32</v>
      </c>
      <c r="I38" t="s">
        <v>79</v>
      </c>
      <c r="K38" t="str">
        <f t="shared" si="1"/>
        <v/>
      </c>
      <c r="L38" s="1">
        <v>20</v>
      </c>
      <c r="M38" t="s">
        <v>2068</v>
      </c>
      <c r="N38" t="s">
        <v>2072</v>
      </c>
      <c r="P38" t="s">
        <v>96</v>
      </c>
      <c r="Q38" t="s">
        <v>2076</v>
      </c>
      <c r="R38">
        <v>0.84</v>
      </c>
      <c r="S38" s="2">
        <v>0.84</v>
      </c>
      <c r="T38" s="2" t="str">
        <f t="shared" si="2"/>
        <v>81% to 90%</v>
      </c>
    </row>
    <row r="39" spans="1:20" x14ac:dyDescent="0.3">
      <c r="A39" t="s">
        <v>135</v>
      </c>
      <c r="B39" t="s">
        <v>136</v>
      </c>
      <c r="C39" t="s">
        <v>111</v>
      </c>
      <c r="D39" t="s">
        <v>80</v>
      </c>
      <c r="E39">
        <v>38</v>
      </c>
      <c r="F39" t="str">
        <f t="shared" si="0"/>
        <v>31 to 40</v>
      </c>
      <c r="G39" t="s">
        <v>101</v>
      </c>
      <c r="H39" t="s">
        <v>59</v>
      </c>
      <c r="I39" t="s">
        <v>39</v>
      </c>
      <c r="J39">
        <v>4</v>
      </c>
      <c r="K39" t="str">
        <f t="shared" si="1"/>
        <v>0 to 10</v>
      </c>
      <c r="L39" s="1">
        <v>40</v>
      </c>
      <c r="M39" t="s">
        <v>2065</v>
      </c>
      <c r="N39" t="s">
        <v>2067</v>
      </c>
      <c r="O39">
        <v>1.5</v>
      </c>
      <c r="P39" t="s">
        <v>53</v>
      </c>
      <c r="Q39" t="s">
        <v>2077</v>
      </c>
      <c r="R39">
        <v>0.9</v>
      </c>
      <c r="S39" s="2">
        <v>0.9</v>
      </c>
      <c r="T39" s="2" t="str">
        <f t="shared" si="2"/>
        <v>81% to 90%</v>
      </c>
    </row>
    <row r="40" spans="1:20" x14ac:dyDescent="0.3">
      <c r="A40" t="s">
        <v>137</v>
      </c>
      <c r="B40" t="s">
        <v>138</v>
      </c>
      <c r="C40" t="s">
        <v>76</v>
      </c>
      <c r="D40" t="s">
        <v>80</v>
      </c>
      <c r="E40">
        <v>43</v>
      </c>
      <c r="F40" t="str">
        <f t="shared" si="0"/>
        <v>41 to 50</v>
      </c>
      <c r="G40" t="s">
        <v>139</v>
      </c>
      <c r="H40" t="s">
        <v>59</v>
      </c>
      <c r="I40" t="s">
        <v>66</v>
      </c>
      <c r="J40">
        <v>1</v>
      </c>
      <c r="K40" t="str">
        <f t="shared" si="1"/>
        <v>0 to 10</v>
      </c>
      <c r="O40">
        <v>2.9</v>
      </c>
      <c r="P40" t="s">
        <v>67</v>
      </c>
      <c r="Q40" t="s">
        <v>2077</v>
      </c>
      <c r="R40">
        <v>0.78</v>
      </c>
      <c r="S40" s="2">
        <v>0.78</v>
      </c>
      <c r="T40" s="2" t="str">
        <f t="shared" si="2"/>
        <v>71% to 80%</v>
      </c>
    </row>
    <row r="41" spans="1:20" x14ac:dyDescent="0.3">
      <c r="A41" t="s">
        <v>140</v>
      </c>
      <c r="B41" t="s">
        <v>141</v>
      </c>
      <c r="C41" t="s">
        <v>111</v>
      </c>
      <c r="D41" t="s">
        <v>80</v>
      </c>
      <c r="E41">
        <v>49</v>
      </c>
      <c r="F41" t="str">
        <f t="shared" si="0"/>
        <v>41 to 50</v>
      </c>
      <c r="G41" t="s">
        <v>42</v>
      </c>
      <c r="H41" t="s">
        <v>43</v>
      </c>
      <c r="I41" t="s">
        <v>108</v>
      </c>
      <c r="J41">
        <v>4</v>
      </c>
      <c r="K41" t="str">
        <f t="shared" si="1"/>
        <v>0 to 10</v>
      </c>
      <c r="L41" s="1">
        <v>75</v>
      </c>
      <c r="M41" t="s">
        <v>2066</v>
      </c>
      <c r="O41">
        <v>2.9</v>
      </c>
      <c r="P41" t="s">
        <v>53</v>
      </c>
      <c r="Q41" t="s">
        <v>2077</v>
      </c>
      <c r="T41" s="2" t="str">
        <f t="shared" si="2"/>
        <v/>
      </c>
    </row>
    <row r="42" spans="1:20" x14ac:dyDescent="0.3">
      <c r="A42" t="s">
        <v>142</v>
      </c>
      <c r="B42" t="s">
        <v>143</v>
      </c>
      <c r="C42" t="s">
        <v>76</v>
      </c>
      <c r="D42" t="s">
        <v>80</v>
      </c>
      <c r="E42">
        <v>31</v>
      </c>
      <c r="F42" t="str">
        <f t="shared" si="0"/>
        <v>31 to 40</v>
      </c>
      <c r="G42" t="s">
        <v>50</v>
      </c>
      <c r="H42" t="s">
        <v>51</v>
      </c>
      <c r="I42" t="s">
        <v>52</v>
      </c>
      <c r="J42">
        <v>11</v>
      </c>
      <c r="K42" t="str">
        <f t="shared" si="1"/>
        <v>11 to 20</v>
      </c>
      <c r="L42" s="1">
        <v>40</v>
      </c>
      <c r="M42" t="s">
        <v>2068</v>
      </c>
      <c r="N42" t="s">
        <v>2067</v>
      </c>
      <c r="O42">
        <v>4.3</v>
      </c>
      <c r="P42" t="s">
        <v>96</v>
      </c>
      <c r="Q42" t="s">
        <v>2076</v>
      </c>
      <c r="R42">
        <v>0.76</v>
      </c>
      <c r="S42" s="2">
        <v>0.76</v>
      </c>
      <c r="T42" s="2" t="str">
        <f t="shared" si="2"/>
        <v>71% to 80%</v>
      </c>
    </row>
    <row r="43" spans="1:20" x14ac:dyDescent="0.3">
      <c r="A43" t="s">
        <v>144</v>
      </c>
      <c r="B43" t="s">
        <v>145</v>
      </c>
      <c r="C43" t="s">
        <v>111</v>
      </c>
      <c r="D43" t="s">
        <v>80</v>
      </c>
      <c r="E43">
        <v>24</v>
      </c>
      <c r="F43" t="str">
        <f t="shared" si="0"/>
        <v>21 to 30</v>
      </c>
      <c r="G43" t="s">
        <v>139</v>
      </c>
      <c r="H43" t="s">
        <v>59</v>
      </c>
      <c r="I43" t="s">
        <v>39</v>
      </c>
      <c r="J43">
        <v>2</v>
      </c>
      <c r="K43" t="str">
        <f t="shared" si="1"/>
        <v>0 to 10</v>
      </c>
      <c r="L43" s="1">
        <v>30</v>
      </c>
      <c r="M43" t="s">
        <v>2069</v>
      </c>
      <c r="O43">
        <v>3.6</v>
      </c>
      <c r="R43">
        <v>0.92</v>
      </c>
      <c r="S43" s="2">
        <v>0.92</v>
      </c>
      <c r="T43" s="2" t="str">
        <f t="shared" si="2"/>
        <v>91% to 100%</v>
      </c>
    </row>
    <row r="44" spans="1:20" x14ac:dyDescent="0.3">
      <c r="A44" t="s">
        <v>146</v>
      </c>
      <c r="B44" t="s">
        <v>147</v>
      </c>
      <c r="C44" t="s">
        <v>111</v>
      </c>
      <c r="D44" t="s">
        <v>80</v>
      </c>
      <c r="E44">
        <v>29</v>
      </c>
      <c r="F44" t="str">
        <f t="shared" si="0"/>
        <v>21 to 30</v>
      </c>
      <c r="G44" t="s">
        <v>104</v>
      </c>
      <c r="H44" t="s">
        <v>105</v>
      </c>
      <c r="I44" t="s">
        <v>79</v>
      </c>
      <c r="J44">
        <v>10</v>
      </c>
      <c r="K44" t="str">
        <f t="shared" si="1"/>
        <v>0 to 10</v>
      </c>
      <c r="L44" s="1">
        <v>40</v>
      </c>
      <c r="M44" t="s">
        <v>2067</v>
      </c>
      <c r="O44">
        <v>2.2000000000000002</v>
      </c>
      <c r="P44" t="s">
        <v>53</v>
      </c>
      <c r="Q44" t="s">
        <v>2077</v>
      </c>
      <c r="R44">
        <v>0.67</v>
      </c>
      <c r="S44" s="2">
        <v>0.67</v>
      </c>
      <c r="T44" s="2" t="str">
        <f t="shared" si="2"/>
        <v>61% to 70 %</v>
      </c>
    </row>
    <row r="45" spans="1:20" x14ac:dyDescent="0.3">
      <c r="A45" t="s">
        <v>148</v>
      </c>
      <c r="B45" t="s">
        <v>149</v>
      </c>
      <c r="C45" t="s">
        <v>76</v>
      </c>
      <c r="D45" t="s">
        <v>80</v>
      </c>
      <c r="E45">
        <v>56</v>
      </c>
      <c r="F45" t="str">
        <f t="shared" si="0"/>
        <v>51 to 60</v>
      </c>
      <c r="G45" t="s">
        <v>58</v>
      </c>
      <c r="H45" t="s">
        <v>59</v>
      </c>
      <c r="I45" t="s">
        <v>66</v>
      </c>
      <c r="J45">
        <v>34</v>
      </c>
      <c r="K45" t="str">
        <f t="shared" si="1"/>
        <v>31 to 40</v>
      </c>
      <c r="O45">
        <v>2.1</v>
      </c>
      <c r="P45" t="s">
        <v>19</v>
      </c>
      <c r="Q45" t="s">
        <v>2076</v>
      </c>
      <c r="R45">
        <v>0.84</v>
      </c>
      <c r="S45" s="2">
        <v>0.84</v>
      </c>
      <c r="T45" s="2" t="str">
        <f t="shared" si="2"/>
        <v>81% to 90%</v>
      </c>
    </row>
    <row r="46" spans="1:20" x14ac:dyDescent="0.3">
      <c r="A46" t="s">
        <v>150</v>
      </c>
      <c r="B46" t="s">
        <v>149</v>
      </c>
      <c r="C46" t="s">
        <v>111</v>
      </c>
      <c r="D46" t="s">
        <v>80</v>
      </c>
      <c r="E46">
        <v>48</v>
      </c>
      <c r="F46" t="str">
        <f t="shared" si="0"/>
        <v>41 to 50</v>
      </c>
      <c r="G46" t="s">
        <v>50</v>
      </c>
      <c r="H46" t="s">
        <v>51</v>
      </c>
      <c r="I46" t="s">
        <v>18</v>
      </c>
      <c r="J46">
        <v>13</v>
      </c>
      <c r="K46" t="str">
        <f t="shared" si="1"/>
        <v>11 to 20</v>
      </c>
      <c r="L46" s="1">
        <v>100</v>
      </c>
      <c r="M46" t="s">
        <v>2065</v>
      </c>
      <c r="N46" t="s">
        <v>2070</v>
      </c>
      <c r="O46">
        <v>2.7</v>
      </c>
      <c r="R46">
        <v>0.62</v>
      </c>
      <c r="S46" s="2">
        <v>0.62</v>
      </c>
      <c r="T46" s="2" t="str">
        <f t="shared" si="2"/>
        <v>61% to 70 %</v>
      </c>
    </row>
    <row r="47" spans="1:20" x14ac:dyDescent="0.3">
      <c r="A47" t="s">
        <v>151</v>
      </c>
      <c r="B47" t="s">
        <v>152</v>
      </c>
      <c r="C47" t="s">
        <v>76</v>
      </c>
      <c r="D47" t="s">
        <v>80</v>
      </c>
      <c r="E47">
        <v>53</v>
      </c>
      <c r="F47" t="str">
        <f t="shared" si="0"/>
        <v>51 to 60</v>
      </c>
      <c r="G47" t="s">
        <v>37</v>
      </c>
      <c r="H47" t="s">
        <v>38</v>
      </c>
      <c r="I47" t="s">
        <v>79</v>
      </c>
      <c r="J47">
        <v>14</v>
      </c>
      <c r="K47" t="str">
        <f t="shared" si="1"/>
        <v>11 to 20</v>
      </c>
      <c r="L47" s="1">
        <v>30</v>
      </c>
      <c r="M47" t="s">
        <v>2069</v>
      </c>
      <c r="O47">
        <v>0</v>
      </c>
      <c r="P47" t="b">
        <v>0</v>
      </c>
      <c r="Q47" t="s">
        <v>2077</v>
      </c>
      <c r="R47">
        <v>0.83</v>
      </c>
      <c r="S47" s="2">
        <v>0.83</v>
      </c>
      <c r="T47" s="2" t="str">
        <f t="shared" si="2"/>
        <v>81% to 90%</v>
      </c>
    </row>
    <row r="48" spans="1:20" x14ac:dyDescent="0.3">
      <c r="A48" t="s">
        <v>153</v>
      </c>
      <c r="B48" t="s">
        <v>154</v>
      </c>
      <c r="C48" t="s">
        <v>111</v>
      </c>
      <c r="D48" t="s">
        <v>80</v>
      </c>
      <c r="E48">
        <v>42</v>
      </c>
      <c r="F48" t="str">
        <f t="shared" si="0"/>
        <v>41 to 50</v>
      </c>
      <c r="G48" t="s">
        <v>155</v>
      </c>
      <c r="H48" t="s">
        <v>17</v>
      </c>
      <c r="I48" t="s">
        <v>66</v>
      </c>
      <c r="J48">
        <v>19</v>
      </c>
      <c r="K48" t="str">
        <f t="shared" si="1"/>
        <v>11 to 20</v>
      </c>
      <c r="L48" s="1">
        <v>75</v>
      </c>
      <c r="M48" t="s">
        <v>2068</v>
      </c>
      <c r="N48" t="s">
        <v>2066</v>
      </c>
      <c r="O48">
        <v>4.5999999999999996</v>
      </c>
      <c r="P48">
        <v>0</v>
      </c>
      <c r="Q48" t="s">
        <v>2077</v>
      </c>
      <c r="R48">
        <v>0.78</v>
      </c>
      <c r="S48" s="2">
        <v>0.78</v>
      </c>
      <c r="T48" s="2" t="str">
        <f t="shared" si="2"/>
        <v>71% to 80%</v>
      </c>
    </row>
    <row r="49" spans="1:21" x14ac:dyDescent="0.3">
      <c r="A49" t="s">
        <v>156</v>
      </c>
      <c r="B49" t="s">
        <v>157</v>
      </c>
      <c r="C49" t="s">
        <v>76</v>
      </c>
      <c r="D49" t="s">
        <v>80</v>
      </c>
      <c r="E49">
        <v>34</v>
      </c>
      <c r="F49" t="str">
        <f t="shared" si="0"/>
        <v>31 to 40</v>
      </c>
      <c r="G49" t="s">
        <v>158</v>
      </c>
      <c r="H49" t="s">
        <v>159</v>
      </c>
      <c r="I49" t="s">
        <v>18</v>
      </c>
      <c r="K49" t="str">
        <f t="shared" si="1"/>
        <v/>
      </c>
      <c r="L49" s="1">
        <v>50</v>
      </c>
      <c r="M49" t="s">
        <v>2065</v>
      </c>
      <c r="N49" t="s">
        <v>2071</v>
      </c>
      <c r="O49">
        <v>0</v>
      </c>
      <c r="P49" t="b">
        <v>0</v>
      </c>
      <c r="Q49" t="s">
        <v>2077</v>
      </c>
      <c r="R49">
        <v>84</v>
      </c>
      <c r="S49" s="2">
        <v>0.84</v>
      </c>
      <c r="T49" s="2" t="str">
        <f t="shared" si="2"/>
        <v>81% to 90%</v>
      </c>
      <c r="U49">
        <v>0.84</v>
      </c>
    </row>
    <row r="50" spans="1:21" x14ac:dyDescent="0.3">
      <c r="A50" t="s">
        <v>160</v>
      </c>
      <c r="B50" t="s">
        <v>161</v>
      </c>
      <c r="C50" t="s">
        <v>15</v>
      </c>
      <c r="D50" t="s">
        <v>20</v>
      </c>
      <c r="F50" t="str">
        <f t="shared" si="0"/>
        <v/>
      </c>
      <c r="G50" t="s">
        <v>158</v>
      </c>
      <c r="H50" t="s">
        <v>159</v>
      </c>
      <c r="I50" t="s">
        <v>66</v>
      </c>
      <c r="J50">
        <v>3</v>
      </c>
      <c r="K50" t="str">
        <f t="shared" si="1"/>
        <v>0 to 10</v>
      </c>
      <c r="L50" s="1">
        <v>40</v>
      </c>
      <c r="M50" t="s">
        <v>2067</v>
      </c>
      <c r="O50">
        <v>4.5999999999999996</v>
      </c>
      <c r="P50" t="s">
        <v>53</v>
      </c>
      <c r="Q50" t="s">
        <v>2077</v>
      </c>
      <c r="R50">
        <v>0.74</v>
      </c>
      <c r="S50" s="2">
        <v>0.74</v>
      </c>
      <c r="T50" s="2" t="str">
        <f t="shared" si="2"/>
        <v>71% to 80%</v>
      </c>
    </row>
    <row r="51" spans="1:21" x14ac:dyDescent="0.3">
      <c r="A51" t="s">
        <v>162</v>
      </c>
      <c r="B51" t="s">
        <v>163</v>
      </c>
      <c r="C51" t="s">
        <v>36</v>
      </c>
      <c r="D51" t="s">
        <v>20</v>
      </c>
      <c r="E51">
        <v>57</v>
      </c>
      <c r="F51" t="str">
        <f t="shared" si="0"/>
        <v>51 to 60</v>
      </c>
      <c r="G51" t="s">
        <v>155</v>
      </c>
      <c r="H51" t="s">
        <v>17</v>
      </c>
      <c r="I51" t="s">
        <v>52</v>
      </c>
      <c r="J51">
        <v>18</v>
      </c>
      <c r="K51" t="str">
        <f t="shared" si="1"/>
        <v>11 to 20</v>
      </c>
      <c r="L51" s="1">
        <v>30</v>
      </c>
      <c r="M51" t="s">
        <v>2068</v>
      </c>
      <c r="N51" t="s">
        <v>2069</v>
      </c>
      <c r="O51">
        <v>1.1000000000000001</v>
      </c>
      <c r="P51" t="b">
        <v>0</v>
      </c>
      <c r="Q51" t="s">
        <v>2077</v>
      </c>
      <c r="R51">
        <v>0.9</v>
      </c>
      <c r="S51" s="2">
        <v>0.9</v>
      </c>
      <c r="T51" s="2" t="str">
        <f t="shared" si="2"/>
        <v>81% to 90%</v>
      </c>
    </row>
    <row r="52" spans="1:21" x14ac:dyDescent="0.3">
      <c r="A52" t="s">
        <v>164</v>
      </c>
      <c r="B52" t="s">
        <v>165</v>
      </c>
      <c r="C52" t="s">
        <v>15</v>
      </c>
      <c r="D52" t="s">
        <v>20</v>
      </c>
      <c r="E52">
        <v>34</v>
      </c>
      <c r="F52" t="str">
        <f t="shared" si="0"/>
        <v>31 to 40</v>
      </c>
      <c r="G52" t="s">
        <v>101</v>
      </c>
      <c r="H52" t="s">
        <v>59</v>
      </c>
      <c r="I52" t="s">
        <v>39</v>
      </c>
      <c r="J52">
        <v>10</v>
      </c>
      <c r="K52" t="str">
        <f t="shared" si="1"/>
        <v>0 to 10</v>
      </c>
      <c r="O52">
        <v>1.7</v>
      </c>
      <c r="P52" t="s">
        <v>53</v>
      </c>
      <c r="Q52" t="s">
        <v>2077</v>
      </c>
      <c r="R52">
        <v>0.96</v>
      </c>
      <c r="S52" s="2">
        <v>0.96</v>
      </c>
      <c r="T52" s="2" t="str">
        <f t="shared" si="2"/>
        <v>91% to 100%</v>
      </c>
    </row>
    <row r="53" spans="1:21" x14ac:dyDescent="0.3">
      <c r="A53" t="s">
        <v>166</v>
      </c>
      <c r="B53" t="s">
        <v>167</v>
      </c>
      <c r="C53" t="s">
        <v>15</v>
      </c>
      <c r="D53" t="s">
        <v>20</v>
      </c>
      <c r="E53">
        <v>21</v>
      </c>
      <c r="F53" t="str">
        <f t="shared" si="0"/>
        <v>21 to 30</v>
      </c>
      <c r="G53" t="s">
        <v>23</v>
      </c>
      <c r="H53" t="s">
        <v>24</v>
      </c>
      <c r="I53" t="s">
        <v>33</v>
      </c>
      <c r="J53">
        <v>2</v>
      </c>
      <c r="K53" t="str">
        <f t="shared" si="1"/>
        <v>0 to 10</v>
      </c>
      <c r="L53" s="1">
        <v>50</v>
      </c>
      <c r="M53" t="s">
        <v>2071</v>
      </c>
      <c r="O53">
        <v>2.6</v>
      </c>
      <c r="P53" t="b">
        <v>0</v>
      </c>
      <c r="Q53" t="s">
        <v>2077</v>
      </c>
      <c r="R53">
        <v>0.86</v>
      </c>
      <c r="S53" s="2">
        <v>0.86</v>
      </c>
      <c r="T53" s="2" t="str">
        <f t="shared" si="2"/>
        <v>81% to 90%</v>
      </c>
    </row>
    <row r="54" spans="1:21" x14ac:dyDescent="0.3">
      <c r="A54" t="s">
        <v>168</v>
      </c>
      <c r="B54" t="s">
        <v>169</v>
      </c>
      <c r="C54" t="s">
        <v>15</v>
      </c>
      <c r="D54" t="s">
        <v>20</v>
      </c>
      <c r="F54" t="str">
        <f t="shared" si="0"/>
        <v/>
      </c>
      <c r="G54" t="s">
        <v>139</v>
      </c>
      <c r="H54" t="s">
        <v>59</v>
      </c>
      <c r="I54" t="s">
        <v>63</v>
      </c>
      <c r="J54">
        <v>5</v>
      </c>
      <c r="K54" t="str">
        <f t="shared" si="1"/>
        <v>0 to 10</v>
      </c>
      <c r="L54" s="1">
        <v>20</v>
      </c>
      <c r="M54" t="s">
        <v>2065</v>
      </c>
      <c r="N54" t="s">
        <v>2072</v>
      </c>
      <c r="O54">
        <v>1.1000000000000001</v>
      </c>
      <c r="P54" t="s">
        <v>67</v>
      </c>
      <c r="Q54" t="s">
        <v>2077</v>
      </c>
      <c r="R54">
        <v>0.74</v>
      </c>
      <c r="S54" s="2">
        <v>0.74</v>
      </c>
      <c r="T54" s="2" t="str">
        <f t="shared" si="2"/>
        <v>71% to 80%</v>
      </c>
    </row>
    <row r="55" spans="1:21" x14ac:dyDescent="0.3">
      <c r="A55" t="s">
        <v>170</v>
      </c>
      <c r="B55" t="s">
        <v>171</v>
      </c>
      <c r="C55" t="s">
        <v>15</v>
      </c>
      <c r="D55" t="s">
        <v>20</v>
      </c>
      <c r="E55">
        <v>58</v>
      </c>
      <c r="F55" t="str">
        <f t="shared" si="0"/>
        <v>51 to 60</v>
      </c>
      <c r="G55" t="s">
        <v>46</v>
      </c>
      <c r="H55" t="s">
        <v>17</v>
      </c>
      <c r="I55" t="s">
        <v>39</v>
      </c>
      <c r="J55">
        <v>23</v>
      </c>
      <c r="K55" t="str">
        <f t="shared" si="1"/>
        <v>21 to 30</v>
      </c>
      <c r="O55">
        <v>4.9000000000000004</v>
      </c>
      <c r="P55" t="b">
        <v>0</v>
      </c>
      <c r="Q55" t="s">
        <v>2077</v>
      </c>
      <c r="T55" s="2" t="str">
        <f t="shared" si="2"/>
        <v/>
      </c>
    </row>
    <row r="56" spans="1:21" x14ac:dyDescent="0.3">
      <c r="A56" t="s">
        <v>172</v>
      </c>
      <c r="B56" t="s">
        <v>173</v>
      </c>
      <c r="C56" t="s">
        <v>15</v>
      </c>
      <c r="D56" t="s">
        <v>20</v>
      </c>
      <c r="E56">
        <v>51</v>
      </c>
      <c r="F56" t="str">
        <f t="shared" si="0"/>
        <v>51 to 60</v>
      </c>
      <c r="G56" t="s">
        <v>101</v>
      </c>
      <c r="H56" t="s">
        <v>59</v>
      </c>
      <c r="I56" t="s">
        <v>60</v>
      </c>
      <c r="J56">
        <v>9</v>
      </c>
      <c r="K56" t="str">
        <f t="shared" si="1"/>
        <v>0 to 10</v>
      </c>
      <c r="L56" s="1">
        <v>40</v>
      </c>
      <c r="M56" t="s">
        <v>2065</v>
      </c>
      <c r="N56" t="s">
        <v>2067</v>
      </c>
      <c r="P56" t="s">
        <v>53</v>
      </c>
      <c r="Q56" t="s">
        <v>2077</v>
      </c>
      <c r="R56">
        <v>60</v>
      </c>
      <c r="S56" s="2">
        <v>0.6</v>
      </c>
      <c r="T56" s="2" t="str">
        <f t="shared" si="2"/>
        <v>50% to 60%</v>
      </c>
      <c r="U56">
        <v>0.6</v>
      </c>
    </row>
    <row r="57" spans="1:21" x14ac:dyDescent="0.3">
      <c r="A57" t="s">
        <v>174</v>
      </c>
      <c r="B57" t="s">
        <v>175</v>
      </c>
      <c r="C57" t="s">
        <v>111</v>
      </c>
      <c r="D57" t="s">
        <v>80</v>
      </c>
      <c r="E57">
        <v>32</v>
      </c>
      <c r="F57" t="str">
        <f t="shared" si="0"/>
        <v>31 to 40</v>
      </c>
      <c r="G57" t="s">
        <v>50</v>
      </c>
      <c r="H57" t="s">
        <v>51</v>
      </c>
      <c r="I57" t="s">
        <v>60</v>
      </c>
      <c r="J57">
        <v>10</v>
      </c>
      <c r="K57" t="str">
        <f t="shared" si="1"/>
        <v>0 to 10</v>
      </c>
      <c r="L57" s="1">
        <v>20</v>
      </c>
      <c r="M57" t="s">
        <v>2065</v>
      </c>
      <c r="N57" t="s">
        <v>2072</v>
      </c>
      <c r="P57" t="s">
        <v>96</v>
      </c>
      <c r="Q57" t="s">
        <v>2076</v>
      </c>
      <c r="R57">
        <v>0.92</v>
      </c>
      <c r="S57" s="2">
        <v>0.92</v>
      </c>
      <c r="T57" s="2" t="str">
        <f t="shared" si="2"/>
        <v>91% to 100%</v>
      </c>
    </row>
    <row r="58" spans="1:21" x14ac:dyDescent="0.3">
      <c r="A58" t="s">
        <v>176</v>
      </c>
      <c r="B58" t="s">
        <v>177</v>
      </c>
      <c r="C58" t="s">
        <v>111</v>
      </c>
      <c r="D58" t="s">
        <v>80</v>
      </c>
      <c r="E58">
        <v>60</v>
      </c>
      <c r="F58" t="str">
        <f t="shared" si="0"/>
        <v>51 to 60</v>
      </c>
      <c r="G58" t="s">
        <v>37</v>
      </c>
      <c r="H58" t="s">
        <v>38</v>
      </c>
      <c r="I58" t="s">
        <v>39</v>
      </c>
      <c r="J58">
        <v>41</v>
      </c>
      <c r="K58" t="str">
        <f t="shared" si="1"/>
        <v>40+</v>
      </c>
      <c r="L58" s="1">
        <v>40</v>
      </c>
      <c r="M58" t="s">
        <v>2065</v>
      </c>
      <c r="N58" t="s">
        <v>2067</v>
      </c>
      <c r="O58">
        <v>4.9000000000000004</v>
      </c>
      <c r="P58">
        <v>1</v>
      </c>
      <c r="Q58" t="s">
        <v>2076</v>
      </c>
      <c r="R58">
        <v>66</v>
      </c>
      <c r="S58" s="2">
        <v>0.66</v>
      </c>
      <c r="T58" s="2" t="str">
        <f t="shared" si="2"/>
        <v>61% to 70 %</v>
      </c>
      <c r="U58">
        <v>0.66</v>
      </c>
    </row>
    <row r="59" spans="1:21" x14ac:dyDescent="0.3">
      <c r="A59" t="s">
        <v>178</v>
      </c>
      <c r="B59" t="s">
        <v>179</v>
      </c>
      <c r="C59" t="s">
        <v>76</v>
      </c>
      <c r="D59" t="s">
        <v>80</v>
      </c>
      <c r="E59">
        <v>26</v>
      </c>
      <c r="F59" t="str">
        <f t="shared" si="0"/>
        <v>21 to 30</v>
      </c>
      <c r="G59" t="s">
        <v>46</v>
      </c>
      <c r="H59" t="s">
        <v>17</v>
      </c>
      <c r="I59" t="s">
        <v>18</v>
      </c>
      <c r="J59">
        <v>3</v>
      </c>
      <c r="K59" t="str">
        <f t="shared" si="1"/>
        <v>0 to 10</v>
      </c>
      <c r="L59" s="1">
        <v>100</v>
      </c>
      <c r="M59" t="s">
        <v>2068</v>
      </c>
      <c r="N59" t="s">
        <v>2070</v>
      </c>
      <c r="O59">
        <v>2.8</v>
      </c>
      <c r="P59">
        <v>1</v>
      </c>
      <c r="Q59" t="s">
        <v>2076</v>
      </c>
      <c r="R59">
        <v>0.61</v>
      </c>
      <c r="S59" s="2">
        <v>0.61</v>
      </c>
      <c r="T59" s="2" t="str">
        <f t="shared" si="2"/>
        <v>61% to 70 %</v>
      </c>
    </row>
    <row r="60" spans="1:21" x14ac:dyDescent="0.3">
      <c r="A60" t="s">
        <v>180</v>
      </c>
      <c r="B60" t="s">
        <v>181</v>
      </c>
      <c r="C60" t="s">
        <v>76</v>
      </c>
      <c r="D60" t="s">
        <v>80</v>
      </c>
      <c r="E60">
        <v>44</v>
      </c>
      <c r="F60" t="str">
        <f t="shared" si="0"/>
        <v>41 to 50</v>
      </c>
      <c r="G60" t="s">
        <v>91</v>
      </c>
      <c r="H60" t="s">
        <v>59</v>
      </c>
      <c r="I60" t="s">
        <v>60</v>
      </c>
      <c r="J60">
        <v>6</v>
      </c>
      <c r="K60" t="str">
        <f t="shared" si="1"/>
        <v>0 to 10</v>
      </c>
      <c r="L60" s="1">
        <v>75</v>
      </c>
      <c r="M60" t="s">
        <v>2066</v>
      </c>
      <c r="O60">
        <v>4.5999999999999996</v>
      </c>
      <c r="P60" t="s">
        <v>96</v>
      </c>
      <c r="Q60" t="s">
        <v>2076</v>
      </c>
      <c r="R60">
        <v>72</v>
      </c>
      <c r="S60" s="2">
        <v>0.72</v>
      </c>
      <c r="T60" s="2" t="str">
        <f t="shared" si="2"/>
        <v>71% to 80%</v>
      </c>
      <c r="U60">
        <v>0.72</v>
      </c>
    </row>
    <row r="61" spans="1:21" x14ac:dyDescent="0.3">
      <c r="A61" t="s">
        <v>182</v>
      </c>
      <c r="B61" t="s">
        <v>183</v>
      </c>
      <c r="C61" t="s">
        <v>76</v>
      </c>
      <c r="D61" t="s">
        <v>80</v>
      </c>
      <c r="E61">
        <v>42</v>
      </c>
      <c r="F61" t="str">
        <f t="shared" si="0"/>
        <v>41 to 50</v>
      </c>
      <c r="G61" t="s">
        <v>104</v>
      </c>
      <c r="H61" t="s">
        <v>105</v>
      </c>
      <c r="I61" t="s">
        <v>52</v>
      </c>
      <c r="J61">
        <v>8</v>
      </c>
      <c r="K61" t="str">
        <f t="shared" si="1"/>
        <v>0 to 10</v>
      </c>
      <c r="L61" s="1">
        <v>50</v>
      </c>
      <c r="M61" t="s">
        <v>2068</v>
      </c>
      <c r="N61" t="s">
        <v>2071</v>
      </c>
      <c r="T61" s="2" t="str">
        <f t="shared" si="2"/>
        <v/>
      </c>
    </row>
    <row r="62" spans="1:21" x14ac:dyDescent="0.3">
      <c r="A62" t="s">
        <v>184</v>
      </c>
      <c r="B62" t="s">
        <v>185</v>
      </c>
      <c r="C62" t="s">
        <v>111</v>
      </c>
      <c r="D62" t="s">
        <v>80</v>
      </c>
      <c r="E62">
        <v>58</v>
      </c>
      <c r="F62" t="str">
        <f t="shared" si="0"/>
        <v>51 to 60</v>
      </c>
      <c r="G62" t="s">
        <v>139</v>
      </c>
      <c r="H62" t="s">
        <v>59</v>
      </c>
      <c r="I62" t="s">
        <v>60</v>
      </c>
      <c r="J62">
        <v>22</v>
      </c>
      <c r="K62" t="str">
        <f t="shared" si="1"/>
        <v>21 to 30</v>
      </c>
      <c r="L62" s="1">
        <v>100</v>
      </c>
      <c r="M62" t="s">
        <v>2070</v>
      </c>
      <c r="O62">
        <v>3.7</v>
      </c>
      <c r="P62">
        <v>0</v>
      </c>
      <c r="Q62" t="s">
        <v>2077</v>
      </c>
      <c r="T62" s="2" t="str">
        <f t="shared" si="2"/>
        <v/>
      </c>
    </row>
    <row r="63" spans="1:21" x14ac:dyDescent="0.3">
      <c r="A63" t="s">
        <v>186</v>
      </c>
      <c r="B63" t="s">
        <v>187</v>
      </c>
      <c r="C63" t="s">
        <v>111</v>
      </c>
      <c r="D63" t="s">
        <v>80</v>
      </c>
      <c r="E63">
        <v>44</v>
      </c>
      <c r="F63" t="str">
        <f t="shared" si="0"/>
        <v>41 to 50</v>
      </c>
      <c r="G63" t="s">
        <v>188</v>
      </c>
      <c r="H63" t="s">
        <v>189</v>
      </c>
      <c r="I63" t="s">
        <v>47</v>
      </c>
      <c r="J63">
        <v>14</v>
      </c>
      <c r="K63" t="str">
        <f t="shared" si="1"/>
        <v>11 to 20</v>
      </c>
      <c r="L63" s="1">
        <v>75</v>
      </c>
      <c r="M63" t="s">
        <v>2068</v>
      </c>
      <c r="N63" t="s">
        <v>2066</v>
      </c>
      <c r="O63">
        <v>3</v>
      </c>
      <c r="P63">
        <v>0</v>
      </c>
      <c r="Q63" t="s">
        <v>2077</v>
      </c>
      <c r="R63">
        <v>0.78</v>
      </c>
      <c r="S63" s="2">
        <v>0.78</v>
      </c>
      <c r="T63" s="2" t="str">
        <f t="shared" si="2"/>
        <v>71% to 80%</v>
      </c>
    </row>
    <row r="64" spans="1:21" x14ac:dyDescent="0.3">
      <c r="A64" t="s">
        <v>190</v>
      </c>
      <c r="B64" t="s">
        <v>191</v>
      </c>
      <c r="C64" t="s">
        <v>76</v>
      </c>
      <c r="D64" t="s">
        <v>80</v>
      </c>
      <c r="E64">
        <v>59</v>
      </c>
      <c r="F64" t="str">
        <f t="shared" si="0"/>
        <v>51 to 60</v>
      </c>
      <c r="G64" t="s">
        <v>58</v>
      </c>
      <c r="H64" t="s">
        <v>59</v>
      </c>
      <c r="I64" t="s">
        <v>108</v>
      </c>
      <c r="J64">
        <v>3</v>
      </c>
      <c r="K64" t="str">
        <f t="shared" si="1"/>
        <v>0 to 10</v>
      </c>
      <c r="L64" s="1">
        <v>50</v>
      </c>
      <c r="M64" t="s">
        <v>2068</v>
      </c>
      <c r="N64" t="s">
        <v>2071</v>
      </c>
      <c r="O64">
        <v>0</v>
      </c>
      <c r="P64" t="s">
        <v>67</v>
      </c>
      <c r="Q64" t="s">
        <v>2077</v>
      </c>
      <c r="T64" s="2" t="str">
        <f t="shared" si="2"/>
        <v/>
      </c>
    </row>
    <row r="65" spans="1:21" x14ac:dyDescent="0.3">
      <c r="A65" t="s">
        <v>192</v>
      </c>
      <c r="B65" t="s">
        <v>193</v>
      </c>
      <c r="C65" t="s">
        <v>76</v>
      </c>
      <c r="D65" t="s">
        <v>80</v>
      </c>
      <c r="E65">
        <v>49</v>
      </c>
      <c r="F65" t="str">
        <f t="shared" si="0"/>
        <v>41 to 50</v>
      </c>
      <c r="G65" t="s">
        <v>16</v>
      </c>
      <c r="H65" t="s">
        <v>17</v>
      </c>
      <c r="I65" t="s">
        <v>66</v>
      </c>
      <c r="J65">
        <v>4</v>
      </c>
      <c r="K65" t="str">
        <f t="shared" si="1"/>
        <v>0 to 10</v>
      </c>
      <c r="L65" s="1">
        <v>75</v>
      </c>
      <c r="M65" t="s">
        <v>2065</v>
      </c>
      <c r="N65" t="s">
        <v>2066</v>
      </c>
      <c r="O65">
        <v>2.1</v>
      </c>
      <c r="R65">
        <v>0.85</v>
      </c>
      <c r="S65" s="2">
        <v>0.85</v>
      </c>
      <c r="T65" s="2" t="str">
        <f t="shared" si="2"/>
        <v>81% to 90%</v>
      </c>
    </row>
    <row r="66" spans="1:21" x14ac:dyDescent="0.3">
      <c r="A66" t="s">
        <v>194</v>
      </c>
      <c r="B66" t="s">
        <v>195</v>
      </c>
      <c r="C66" t="s">
        <v>76</v>
      </c>
      <c r="D66" t="s">
        <v>80</v>
      </c>
      <c r="E66">
        <v>55</v>
      </c>
      <c r="F66" t="str">
        <f t="shared" ref="F66:F129" si="3">IF(OR($E66="",NOT(ISNUMBER($E66))),"",
 IF($E66&lt;=20,"11 to 20",
 IF($E66&lt;=30,"21 to 30",
 IF($E66&lt;=40,"31 to 40",
 IF($E66&lt;=50,"41 to 50",
 IF($E66&lt;=60,"51 to 60"))))))</f>
        <v>51 to 60</v>
      </c>
      <c r="G66" t="s">
        <v>77</v>
      </c>
      <c r="H66" t="s">
        <v>78</v>
      </c>
      <c r="I66" t="s">
        <v>39</v>
      </c>
      <c r="J66">
        <v>20</v>
      </c>
      <c r="K66" t="str">
        <f t="shared" ref="K66:K129" si="4">IF(OR($J66="",NOT(ISNUMBER($J66))),"",
 IF($J66&lt;=10,"0 to 10",
 IF($J66&lt;=20,"11 to 20",
 IF($J66&lt;=30,"21 to 30",
 IF($J66&lt;=40,"31 to 40",
 "40+")))))</f>
        <v>11 to 20</v>
      </c>
      <c r="L66" s="1">
        <v>75</v>
      </c>
      <c r="M66" t="s">
        <v>2066</v>
      </c>
      <c r="O66">
        <v>2.9</v>
      </c>
      <c r="P66" t="b">
        <v>0</v>
      </c>
      <c r="Q66" t="s">
        <v>2077</v>
      </c>
      <c r="T66" s="2" t="str">
        <f t="shared" ref="T66:T129" si="5">IF(OR($S66="",NOT(ISNUMBER($S66))),"",
 IF($S66&lt;=0.6,"50% to 60%",
 IF($S66&lt;=0.7,"61% to 70 %",
 IF($S66&lt;=0.8,"71% to 80%",
 IF($S66&lt;=0.9,"81% to 90%",
 IF($S66&lt;=1,"91% to 100%"))))))</f>
        <v/>
      </c>
    </row>
    <row r="67" spans="1:21" x14ac:dyDescent="0.3">
      <c r="A67" t="s">
        <v>196</v>
      </c>
      <c r="B67" t="s">
        <v>197</v>
      </c>
      <c r="C67" t="s">
        <v>111</v>
      </c>
      <c r="D67" t="s">
        <v>80</v>
      </c>
      <c r="E67">
        <v>53</v>
      </c>
      <c r="F67" t="str">
        <f t="shared" si="3"/>
        <v>51 to 60</v>
      </c>
      <c r="G67" t="s">
        <v>42</v>
      </c>
      <c r="H67" t="s">
        <v>43</v>
      </c>
      <c r="I67" t="s">
        <v>18</v>
      </c>
      <c r="J67">
        <v>34</v>
      </c>
      <c r="K67" t="str">
        <f t="shared" si="4"/>
        <v>31 to 40</v>
      </c>
      <c r="L67" s="1">
        <v>30</v>
      </c>
      <c r="M67" t="s">
        <v>2069</v>
      </c>
      <c r="P67" t="s">
        <v>96</v>
      </c>
      <c r="Q67" t="s">
        <v>2076</v>
      </c>
      <c r="T67" s="2" t="str">
        <f t="shared" si="5"/>
        <v/>
      </c>
    </row>
    <row r="68" spans="1:21" x14ac:dyDescent="0.3">
      <c r="A68" t="s">
        <v>198</v>
      </c>
      <c r="B68" t="s">
        <v>199</v>
      </c>
      <c r="C68" t="s">
        <v>76</v>
      </c>
      <c r="D68" t="s">
        <v>80</v>
      </c>
      <c r="E68">
        <v>23</v>
      </c>
      <c r="F68" t="str">
        <f t="shared" si="3"/>
        <v>21 to 30</v>
      </c>
      <c r="G68" t="s">
        <v>155</v>
      </c>
      <c r="H68" t="s">
        <v>17</v>
      </c>
      <c r="I68" t="s">
        <v>33</v>
      </c>
      <c r="J68">
        <v>2</v>
      </c>
      <c r="K68" t="str">
        <f t="shared" si="4"/>
        <v>0 to 10</v>
      </c>
      <c r="L68" s="1">
        <v>20</v>
      </c>
      <c r="M68" t="s">
        <v>2068</v>
      </c>
      <c r="N68" t="s">
        <v>2072</v>
      </c>
      <c r="O68">
        <v>1.3</v>
      </c>
      <c r="P68" t="s">
        <v>53</v>
      </c>
      <c r="Q68" t="s">
        <v>2077</v>
      </c>
      <c r="T68" s="2" t="str">
        <f t="shared" si="5"/>
        <v/>
      </c>
    </row>
    <row r="69" spans="1:21" x14ac:dyDescent="0.3">
      <c r="A69" t="s">
        <v>200</v>
      </c>
      <c r="B69" t="s">
        <v>201</v>
      </c>
      <c r="C69" t="s">
        <v>76</v>
      </c>
      <c r="D69" t="s">
        <v>80</v>
      </c>
      <c r="E69">
        <v>22</v>
      </c>
      <c r="F69" t="str">
        <f t="shared" si="3"/>
        <v>21 to 30</v>
      </c>
      <c r="G69" t="s">
        <v>42</v>
      </c>
      <c r="H69" t="s">
        <v>43</v>
      </c>
      <c r="I69" t="s">
        <v>66</v>
      </c>
      <c r="J69">
        <v>0</v>
      </c>
      <c r="K69" t="str">
        <f t="shared" si="4"/>
        <v>0 to 10</v>
      </c>
      <c r="L69" s="1">
        <v>30</v>
      </c>
      <c r="M69" t="s">
        <v>2068</v>
      </c>
      <c r="N69" t="s">
        <v>2069</v>
      </c>
      <c r="O69">
        <v>1.2</v>
      </c>
      <c r="P69">
        <v>1</v>
      </c>
      <c r="Q69" t="s">
        <v>2076</v>
      </c>
      <c r="R69">
        <v>0.7</v>
      </c>
      <c r="S69" s="2">
        <v>0.7</v>
      </c>
      <c r="T69" s="2" t="str">
        <f t="shared" si="5"/>
        <v>61% to 70 %</v>
      </c>
    </row>
    <row r="70" spans="1:21" x14ac:dyDescent="0.3">
      <c r="A70" t="s">
        <v>202</v>
      </c>
      <c r="B70" t="s">
        <v>203</v>
      </c>
      <c r="C70" t="s">
        <v>76</v>
      </c>
      <c r="D70" t="s">
        <v>80</v>
      </c>
      <c r="E70">
        <v>38</v>
      </c>
      <c r="F70" t="str">
        <f t="shared" si="3"/>
        <v>31 to 40</v>
      </c>
      <c r="G70" t="s">
        <v>77</v>
      </c>
      <c r="H70" t="s">
        <v>78</v>
      </c>
      <c r="I70" t="s">
        <v>66</v>
      </c>
      <c r="J70">
        <v>20</v>
      </c>
      <c r="K70" t="str">
        <f t="shared" si="4"/>
        <v>11 to 20</v>
      </c>
      <c r="L70" s="1">
        <v>75</v>
      </c>
      <c r="M70" t="s">
        <v>2065</v>
      </c>
      <c r="N70" t="s">
        <v>2066</v>
      </c>
      <c r="O70">
        <v>1.1000000000000001</v>
      </c>
      <c r="P70" t="s">
        <v>67</v>
      </c>
      <c r="Q70" t="s">
        <v>2077</v>
      </c>
      <c r="R70">
        <v>0.71</v>
      </c>
      <c r="S70" s="2">
        <v>0.71</v>
      </c>
      <c r="T70" s="2" t="str">
        <f t="shared" si="5"/>
        <v>71% to 80%</v>
      </c>
    </row>
    <row r="71" spans="1:21" x14ac:dyDescent="0.3">
      <c r="A71" t="s">
        <v>204</v>
      </c>
      <c r="B71" t="s">
        <v>205</v>
      </c>
      <c r="C71" t="s">
        <v>76</v>
      </c>
      <c r="D71" t="s">
        <v>80</v>
      </c>
      <c r="E71">
        <v>39</v>
      </c>
      <c r="F71" t="str">
        <f t="shared" si="3"/>
        <v>31 to 40</v>
      </c>
      <c r="G71" t="s">
        <v>37</v>
      </c>
      <c r="H71" t="s">
        <v>38</v>
      </c>
      <c r="I71" t="s">
        <v>39</v>
      </c>
      <c r="J71">
        <v>20</v>
      </c>
      <c r="K71" t="str">
        <f t="shared" si="4"/>
        <v>11 to 20</v>
      </c>
      <c r="L71" s="1">
        <v>100</v>
      </c>
      <c r="M71" t="s">
        <v>2068</v>
      </c>
      <c r="N71" t="s">
        <v>2070</v>
      </c>
      <c r="P71" t="s">
        <v>96</v>
      </c>
      <c r="Q71" t="s">
        <v>2076</v>
      </c>
      <c r="R71">
        <v>0.89</v>
      </c>
      <c r="S71" s="2">
        <v>0.89</v>
      </c>
      <c r="T71" s="2" t="str">
        <f t="shared" si="5"/>
        <v>81% to 90%</v>
      </c>
    </row>
    <row r="72" spans="1:21" x14ac:dyDescent="0.3">
      <c r="A72" t="s">
        <v>206</v>
      </c>
      <c r="B72" t="s">
        <v>207</v>
      </c>
      <c r="C72" t="s">
        <v>111</v>
      </c>
      <c r="D72" t="s">
        <v>80</v>
      </c>
      <c r="E72">
        <v>43</v>
      </c>
      <c r="F72" t="str">
        <f t="shared" si="3"/>
        <v>41 to 50</v>
      </c>
      <c r="G72" t="s">
        <v>104</v>
      </c>
      <c r="H72" t="s">
        <v>105</v>
      </c>
      <c r="I72" t="s">
        <v>108</v>
      </c>
      <c r="J72">
        <v>3</v>
      </c>
      <c r="K72" t="str">
        <f t="shared" si="4"/>
        <v>0 to 10</v>
      </c>
      <c r="L72" s="1">
        <v>20</v>
      </c>
      <c r="M72" t="s">
        <v>2072</v>
      </c>
      <c r="O72">
        <v>0</v>
      </c>
      <c r="P72" t="s">
        <v>96</v>
      </c>
      <c r="Q72" t="s">
        <v>2076</v>
      </c>
      <c r="R72">
        <v>0.95</v>
      </c>
      <c r="S72" s="2">
        <v>0.95</v>
      </c>
      <c r="T72" s="2" t="str">
        <f t="shared" si="5"/>
        <v>91% to 100%</v>
      </c>
    </row>
    <row r="73" spans="1:21" x14ac:dyDescent="0.3">
      <c r="A73" t="s">
        <v>208</v>
      </c>
      <c r="B73" t="s">
        <v>209</v>
      </c>
      <c r="C73" t="s">
        <v>15</v>
      </c>
      <c r="D73" t="s">
        <v>20</v>
      </c>
      <c r="E73">
        <v>58</v>
      </c>
      <c r="F73" t="str">
        <f t="shared" si="3"/>
        <v>51 to 60</v>
      </c>
      <c r="G73" t="s">
        <v>188</v>
      </c>
      <c r="H73" t="s">
        <v>189</v>
      </c>
      <c r="I73" t="s">
        <v>108</v>
      </c>
      <c r="J73">
        <v>10</v>
      </c>
      <c r="K73" t="str">
        <f t="shared" si="4"/>
        <v>0 to 10</v>
      </c>
      <c r="L73" s="1">
        <v>75</v>
      </c>
      <c r="M73" t="s">
        <v>2066</v>
      </c>
      <c r="O73">
        <v>4.2</v>
      </c>
      <c r="P73" t="s">
        <v>53</v>
      </c>
      <c r="Q73" t="s">
        <v>2077</v>
      </c>
      <c r="R73">
        <v>71</v>
      </c>
      <c r="S73" s="2">
        <v>0.71</v>
      </c>
      <c r="T73" s="2" t="str">
        <f t="shared" si="5"/>
        <v>71% to 80%</v>
      </c>
      <c r="U73">
        <v>0.71</v>
      </c>
    </row>
    <row r="74" spans="1:21" x14ac:dyDescent="0.3">
      <c r="A74" t="s">
        <v>210</v>
      </c>
      <c r="B74" t="s">
        <v>211</v>
      </c>
      <c r="C74" t="s">
        <v>36</v>
      </c>
      <c r="D74" t="s">
        <v>20</v>
      </c>
      <c r="E74">
        <v>44</v>
      </c>
      <c r="F74" t="str">
        <f t="shared" si="3"/>
        <v>41 to 50</v>
      </c>
      <c r="G74" t="s">
        <v>101</v>
      </c>
      <c r="H74" t="s">
        <v>59</v>
      </c>
      <c r="I74" t="s">
        <v>47</v>
      </c>
      <c r="J74">
        <v>26</v>
      </c>
      <c r="K74" t="str">
        <f t="shared" si="4"/>
        <v>21 to 30</v>
      </c>
      <c r="L74" s="1">
        <v>50</v>
      </c>
      <c r="M74" t="s">
        <v>2071</v>
      </c>
      <c r="O74">
        <v>1.6</v>
      </c>
      <c r="R74">
        <v>1</v>
      </c>
      <c r="S74" s="2">
        <v>1</v>
      </c>
      <c r="T74" s="2" t="str">
        <f t="shared" si="5"/>
        <v>91% to 100%</v>
      </c>
    </row>
    <row r="75" spans="1:21" x14ac:dyDescent="0.3">
      <c r="A75" t="s">
        <v>212</v>
      </c>
      <c r="B75" t="s">
        <v>213</v>
      </c>
      <c r="C75" t="s">
        <v>15</v>
      </c>
      <c r="D75" t="s">
        <v>20</v>
      </c>
      <c r="E75">
        <v>34</v>
      </c>
      <c r="F75" t="str">
        <f t="shared" si="3"/>
        <v>31 to 40</v>
      </c>
      <c r="G75" t="s">
        <v>101</v>
      </c>
      <c r="H75" t="s">
        <v>59</v>
      </c>
      <c r="I75" t="s">
        <v>66</v>
      </c>
      <c r="J75">
        <v>6</v>
      </c>
      <c r="K75" t="str">
        <f t="shared" si="4"/>
        <v>0 to 10</v>
      </c>
      <c r="L75" s="1">
        <v>50</v>
      </c>
      <c r="M75" t="s">
        <v>2071</v>
      </c>
      <c r="O75">
        <v>5</v>
      </c>
      <c r="P75" t="s">
        <v>96</v>
      </c>
      <c r="Q75" t="s">
        <v>2076</v>
      </c>
      <c r="R75">
        <v>0.92</v>
      </c>
      <c r="S75" s="2">
        <v>0.92</v>
      </c>
      <c r="T75" s="2" t="str">
        <f t="shared" si="5"/>
        <v>91% to 100%</v>
      </c>
    </row>
    <row r="76" spans="1:21" x14ac:dyDescent="0.3">
      <c r="A76" t="s">
        <v>214</v>
      </c>
      <c r="B76" t="s">
        <v>215</v>
      </c>
      <c r="C76" t="s">
        <v>36</v>
      </c>
      <c r="D76" t="s">
        <v>20</v>
      </c>
      <c r="E76">
        <v>52</v>
      </c>
      <c r="F76" t="str">
        <f t="shared" si="3"/>
        <v>51 to 60</v>
      </c>
      <c r="G76" t="s">
        <v>139</v>
      </c>
      <c r="H76" t="s">
        <v>59</v>
      </c>
      <c r="I76" t="s">
        <v>66</v>
      </c>
      <c r="J76">
        <v>17</v>
      </c>
      <c r="K76" t="str">
        <f t="shared" si="4"/>
        <v>11 to 20</v>
      </c>
      <c r="L76" s="1">
        <v>75</v>
      </c>
      <c r="M76" t="s">
        <v>2068</v>
      </c>
      <c r="N76" t="s">
        <v>2066</v>
      </c>
      <c r="O76">
        <v>0</v>
      </c>
      <c r="P76">
        <v>0</v>
      </c>
      <c r="Q76" t="s">
        <v>2077</v>
      </c>
      <c r="R76">
        <v>0.94</v>
      </c>
      <c r="S76" s="2">
        <v>0.94</v>
      </c>
      <c r="T76" s="2" t="str">
        <f t="shared" si="5"/>
        <v>91% to 100%</v>
      </c>
    </row>
    <row r="77" spans="1:21" x14ac:dyDescent="0.3">
      <c r="A77" t="s">
        <v>216</v>
      </c>
      <c r="B77" t="s">
        <v>217</v>
      </c>
      <c r="C77" t="s">
        <v>15</v>
      </c>
      <c r="D77" t="s">
        <v>20</v>
      </c>
      <c r="E77">
        <v>60</v>
      </c>
      <c r="F77" t="str">
        <f t="shared" si="3"/>
        <v>51 to 60</v>
      </c>
      <c r="G77" t="s">
        <v>37</v>
      </c>
      <c r="H77" t="s">
        <v>38</v>
      </c>
      <c r="I77" t="s">
        <v>33</v>
      </c>
      <c r="J77">
        <v>6</v>
      </c>
      <c r="K77" t="str">
        <f t="shared" si="4"/>
        <v>0 to 10</v>
      </c>
      <c r="O77">
        <v>3.2</v>
      </c>
      <c r="P77">
        <v>0</v>
      </c>
      <c r="Q77" t="s">
        <v>2077</v>
      </c>
      <c r="R77">
        <v>95</v>
      </c>
      <c r="S77" s="2">
        <v>0.95</v>
      </c>
      <c r="T77" s="2" t="str">
        <f t="shared" si="5"/>
        <v>91% to 100%</v>
      </c>
      <c r="U77">
        <v>0.95</v>
      </c>
    </row>
    <row r="78" spans="1:21" x14ac:dyDescent="0.3">
      <c r="A78" t="s">
        <v>218</v>
      </c>
      <c r="B78" t="s">
        <v>219</v>
      </c>
      <c r="C78" t="s">
        <v>15</v>
      </c>
      <c r="D78" t="s">
        <v>20</v>
      </c>
      <c r="E78">
        <v>46</v>
      </c>
      <c r="F78" t="str">
        <f t="shared" si="3"/>
        <v>41 to 50</v>
      </c>
      <c r="G78" t="s">
        <v>91</v>
      </c>
      <c r="H78" t="s">
        <v>59</v>
      </c>
      <c r="I78" t="s">
        <v>79</v>
      </c>
      <c r="J78">
        <v>20</v>
      </c>
      <c r="K78" t="str">
        <f t="shared" si="4"/>
        <v>11 to 20</v>
      </c>
      <c r="L78" s="1">
        <v>20</v>
      </c>
      <c r="M78" t="s">
        <v>2065</v>
      </c>
      <c r="N78" t="s">
        <v>2072</v>
      </c>
      <c r="O78">
        <v>1.2</v>
      </c>
      <c r="P78" t="b">
        <v>0</v>
      </c>
      <c r="Q78" t="s">
        <v>2077</v>
      </c>
      <c r="R78">
        <v>0.74</v>
      </c>
      <c r="S78" s="2">
        <v>0.74</v>
      </c>
      <c r="T78" s="2" t="str">
        <f t="shared" si="5"/>
        <v>71% to 80%</v>
      </c>
    </row>
    <row r="79" spans="1:21" x14ac:dyDescent="0.3">
      <c r="A79" t="s">
        <v>220</v>
      </c>
      <c r="B79" t="s">
        <v>221</v>
      </c>
      <c r="C79" t="s">
        <v>15</v>
      </c>
      <c r="D79" t="s">
        <v>20</v>
      </c>
      <c r="E79">
        <v>31</v>
      </c>
      <c r="F79" t="str">
        <f t="shared" si="3"/>
        <v>31 to 40</v>
      </c>
      <c r="G79" t="s">
        <v>50</v>
      </c>
      <c r="H79" t="s">
        <v>51</v>
      </c>
      <c r="I79" t="s">
        <v>60</v>
      </c>
      <c r="J79">
        <v>0</v>
      </c>
      <c r="K79" t="str">
        <f t="shared" si="4"/>
        <v>0 to 10</v>
      </c>
      <c r="L79" s="1">
        <v>20</v>
      </c>
      <c r="M79" t="s">
        <v>2065</v>
      </c>
      <c r="N79" t="s">
        <v>2072</v>
      </c>
      <c r="O79">
        <v>4.2</v>
      </c>
      <c r="P79" t="s">
        <v>96</v>
      </c>
      <c r="Q79" t="s">
        <v>2076</v>
      </c>
      <c r="R79">
        <v>82</v>
      </c>
      <c r="S79" s="2">
        <v>0.82</v>
      </c>
      <c r="T79" s="2" t="str">
        <f t="shared" si="5"/>
        <v>81% to 90%</v>
      </c>
      <c r="U79">
        <v>0.82</v>
      </c>
    </row>
    <row r="80" spans="1:21" x14ac:dyDescent="0.3">
      <c r="A80" t="s">
        <v>222</v>
      </c>
      <c r="B80" t="s">
        <v>223</v>
      </c>
      <c r="C80" t="s">
        <v>36</v>
      </c>
      <c r="D80" t="s">
        <v>20</v>
      </c>
      <c r="E80">
        <v>51</v>
      </c>
      <c r="F80" t="str">
        <f t="shared" si="3"/>
        <v>51 to 60</v>
      </c>
      <c r="G80" t="s">
        <v>158</v>
      </c>
      <c r="H80" t="s">
        <v>159</v>
      </c>
      <c r="I80" t="s">
        <v>18</v>
      </c>
      <c r="J80">
        <v>17</v>
      </c>
      <c r="K80" t="str">
        <f t="shared" si="4"/>
        <v>11 to 20</v>
      </c>
      <c r="L80" s="1">
        <v>40</v>
      </c>
      <c r="M80" t="s">
        <v>2067</v>
      </c>
      <c r="O80">
        <v>4.5</v>
      </c>
      <c r="P80">
        <v>1</v>
      </c>
      <c r="Q80" t="s">
        <v>2076</v>
      </c>
      <c r="R80">
        <v>0.72</v>
      </c>
      <c r="S80" s="2">
        <v>0.72</v>
      </c>
      <c r="T80" s="2" t="str">
        <f t="shared" si="5"/>
        <v>71% to 80%</v>
      </c>
    </row>
    <row r="81" spans="1:21" x14ac:dyDescent="0.3">
      <c r="A81" t="s">
        <v>224</v>
      </c>
      <c r="B81" t="s">
        <v>225</v>
      </c>
      <c r="C81" t="s">
        <v>15</v>
      </c>
      <c r="D81" t="s">
        <v>20</v>
      </c>
      <c r="E81">
        <v>60</v>
      </c>
      <c r="F81" t="str">
        <f t="shared" si="3"/>
        <v>51 to 60</v>
      </c>
      <c r="G81" t="s">
        <v>46</v>
      </c>
      <c r="H81" t="s">
        <v>17</v>
      </c>
      <c r="I81" t="s">
        <v>60</v>
      </c>
      <c r="J81">
        <v>20</v>
      </c>
      <c r="K81" t="str">
        <f t="shared" si="4"/>
        <v>11 to 20</v>
      </c>
      <c r="L81" s="1">
        <v>40</v>
      </c>
      <c r="M81" t="s">
        <v>2067</v>
      </c>
      <c r="O81">
        <v>1.4</v>
      </c>
      <c r="P81" t="s">
        <v>67</v>
      </c>
      <c r="Q81" t="s">
        <v>2077</v>
      </c>
      <c r="R81">
        <v>87</v>
      </c>
      <c r="S81" s="2">
        <v>0.87</v>
      </c>
      <c r="T81" s="2" t="str">
        <f t="shared" si="5"/>
        <v>81% to 90%</v>
      </c>
      <c r="U81">
        <v>0.87</v>
      </c>
    </row>
    <row r="82" spans="1:21" x14ac:dyDescent="0.3">
      <c r="A82" t="s">
        <v>226</v>
      </c>
      <c r="B82" t="s">
        <v>227</v>
      </c>
      <c r="C82" t="s">
        <v>15</v>
      </c>
      <c r="D82" t="s">
        <v>20</v>
      </c>
      <c r="E82">
        <v>24</v>
      </c>
      <c r="F82" t="str">
        <f t="shared" si="3"/>
        <v>21 to 30</v>
      </c>
      <c r="G82" t="s">
        <v>16</v>
      </c>
      <c r="H82" t="s">
        <v>17</v>
      </c>
      <c r="I82" t="s">
        <v>52</v>
      </c>
      <c r="J82">
        <v>3</v>
      </c>
      <c r="K82" t="str">
        <f t="shared" si="4"/>
        <v>0 to 10</v>
      </c>
      <c r="L82" s="1">
        <v>75</v>
      </c>
      <c r="M82" t="s">
        <v>2066</v>
      </c>
      <c r="O82">
        <v>2</v>
      </c>
      <c r="P82" t="b">
        <v>0</v>
      </c>
      <c r="Q82" t="s">
        <v>2077</v>
      </c>
      <c r="T82" s="2" t="str">
        <f t="shared" si="5"/>
        <v/>
      </c>
    </row>
    <row r="83" spans="1:21" x14ac:dyDescent="0.3">
      <c r="A83" t="s">
        <v>228</v>
      </c>
      <c r="B83" t="s">
        <v>229</v>
      </c>
      <c r="C83" t="s">
        <v>15</v>
      </c>
      <c r="D83" t="s">
        <v>20</v>
      </c>
      <c r="E83">
        <v>41</v>
      </c>
      <c r="F83" t="str">
        <f t="shared" si="3"/>
        <v>41 to 50</v>
      </c>
      <c r="G83" t="s">
        <v>101</v>
      </c>
      <c r="H83" t="s">
        <v>59</v>
      </c>
      <c r="I83" t="s">
        <v>108</v>
      </c>
      <c r="J83">
        <v>15</v>
      </c>
      <c r="K83" t="str">
        <f t="shared" si="4"/>
        <v>11 to 20</v>
      </c>
      <c r="L83" s="1">
        <v>40</v>
      </c>
      <c r="M83" t="s">
        <v>2067</v>
      </c>
      <c r="O83">
        <v>3.4</v>
      </c>
      <c r="P83" t="b">
        <v>0</v>
      </c>
      <c r="Q83" t="s">
        <v>2077</v>
      </c>
      <c r="R83">
        <v>1</v>
      </c>
      <c r="S83" s="2">
        <v>1</v>
      </c>
      <c r="T83" s="2" t="str">
        <f t="shared" si="5"/>
        <v>91% to 100%</v>
      </c>
    </row>
    <row r="84" spans="1:21" x14ac:dyDescent="0.3">
      <c r="A84" t="s">
        <v>230</v>
      </c>
      <c r="B84" t="s">
        <v>231</v>
      </c>
      <c r="C84" t="s">
        <v>15</v>
      </c>
      <c r="D84" t="s">
        <v>20</v>
      </c>
      <c r="E84">
        <v>46</v>
      </c>
      <c r="F84" t="str">
        <f t="shared" si="3"/>
        <v>41 to 50</v>
      </c>
      <c r="G84" t="s">
        <v>155</v>
      </c>
      <c r="H84" t="s">
        <v>17</v>
      </c>
      <c r="I84" t="s">
        <v>79</v>
      </c>
      <c r="J84">
        <v>11</v>
      </c>
      <c r="K84" t="str">
        <f t="shared" si="4"/>
        <v>11 to 20</v>
      </c>
      <c r="O84">
        <v>1.8</v>
      </c>
      <c r="P84">
        <v>1</v>
      </c>
      <c r="Q84" t="s">
        <v>2076</v>
      </c>
      <c r="R84">
        <v>0.91</v>
      </c>
      <c r="S84" s="2">
        <v>0.91</v>
      </c>
      <c r="T84" s="2" t="str">
        <f t="shared" si="5"/>
        <v>91% to 100%</v>
      </c>
    </row>
    <row r="85" spans="1:21" x14ac:dyDescent="0.3">
      <c r="A85" t="s">
        <v>232</v>
      </c>
      <c r="B85" t="s">
        <v>233</v>
      </c>
      <c r="C85" t="s">
        <v>15</v>
      </c>
      <c r="D85" t="s">
        <v>20</v>
      </c>
      <c r="E85">
        <v>40</v>
      </c>
      <c r="F85" t="str">
        <f t="shared" si="3"/>
        <v>31 to 40</v>
      </c>
      <c r="G85" t="s">
        <v>37</v>
      </c>
      <c r="H85" t="s">
        <v>38</v>
      </c>
      <c r="I85" t="s">
        <v>66</v>
      </c>
      <c r="J85">
        <v>12</v>
      </c>
      <c r="K85" t="str">
        <f t="shared" si="4"/>
        <v>11 to 20</v>
      </c>
      <c r="L85" s="1">
        <v>75</v>
      </c>
      <c r="M85" t="s">
        <v>2066</v>
      </c>
      <c r="O85">
        <v>2.6</v>
      </c>
      <c r="P85" t="b">
        <v>0</v>
      </c>
      <c r="Q85" t="s">
        <v>2077</v>
      </c>
      <c r="T85" s="2" t="str">
        <f t="shared" si="5"/>
        <v/>
      </c>
    </row>
    <row r="86" spans="1:21" x14ac:dyDescent="0.3">
      <c r="A86" t="s">
        <v>234</v>
      </c>
      <c r="B86" t="s">
        <v>235</v>
      </c>
      <c r="C86" t="s">
        <v>76</v>
      </c>
      <c r="D86" t="s">
        <v>80</v>
      </c>
      <c r="E86">
        <v>37</v>
      </c>
      <c r="F86" t="str">
        <f t="shared" si="3"/>
        <v>31 to 40</v>
      </c>
      <c r="G86" t="s">
        <v>91</v>
      </c>
      <c r="H86" t="s">
        <v>59</v>
      </c>
      <c r="I86" t="s">
        <v>60</v>
      </c>
      <c r="J86">
        <v>9</v>
      </c>
      <c r="K86" t="str">
        <f t="shared" si="4"/>
        <v>0 to 10</v>
      </c>
      <c r="L86" s="1">
        <v>50</v>
      </c>
      <c r="M86" t="s">
        <v>2065</v>
      </c>
      <c r="N86" t="s">
        <v>2071</v>
      </c>
      <c r="P86" t="s">
        <v>19</v>
      </c>
      <c r="Q86" t="s">
        <v>2076</v>
      </c>
      <c r="R86">
        <v>84</v>
      </c>
      <c r="S86" s="2">
        <v>0.84</v>
      </c>
      <c r="T86" s="2" t="str">
        <f t="shared" si="5"/>
        <v>81% to 90%</v>
      </c>
      <c r="U86">
        <v>0.84</v>
      </c>
    </row>
    <row r="87" spans="1:21" x14ac:dyDescent="0.3">
      <c r="A87" t="s">
        <v>236</v>
      </c>
      <c r="B87" t="s">
        <v>237</v>
      </c>
      <c r="C87" t="s">
        <v>111</v>
      </c>
      <c r="D87" t="s">
        <v>80</v>
      </c>
      <c r="E87">
        <v>56</v>
      </c>
      <c r="F87" t="str">
        <f t="shared" si="3"/>
        <v>51 to 60</v>
      </c>
      <c r="G87" t="s">
        <v>155</v>
      </c>
      <c r="H87" t="s">
        <v>17</v>
      </c>
      <c r="I87" t="s">
        <v>108</v>
      </c>
      <c r="J87">
        <v>3</v>
      </c>
      <c r="K87" t="str">
        <f t="shared" si="4"/>
        <v>0 to 10</v>
      </c>
      <c r="L87" s="1">
        <v>30</v>
      </c>
      <c r="M87" t="s">
        <v>2065</v>
      </c>
      <c r="N87" t="s">
        <v>2069</v>
      </c>
      <c r="O87">
        <v>3.7</v>
      </c>
      <c r="R87">
        <v>0.83</v>
      </c>
      <c r="S87" s="2">
        <v>0.83</v>
      </c>
      <c r="T87" s="2" t="str">
        <f t="shared" si="5"/>
        <v>81% to 90%</v>
      </c>
    </row>
    <row r="88" spans="1:21" x14ac:dyDescent="0.3">
      <c r="A88" t="s">
        <v>238</v>
      </c>
      <c r="B88" t="s">
        <v>239</v>
      </c>
      <c r="C88" t="s">
        <v>15</v>
      </c>
      <c r="D88" t="s">
        <v>20</v>
      </c>
      <c r="E88">
        <v>25</v>
      </c>
      <c r="F88" t="str">
        <f t="shared" si="3"/>
        <v>21 to 30</v>
      </c>
      <c r="G88" t="s">
        <v>46</v>
      </c>
      <c r="H88" t="s">
        <v>17</v>
      </c>
      <c r="I88" t="s">
        <v>18</v>
      </c>
      <c r="J88">
        <v>5</v>
      </c>
      <c r="K88" t="str">
        <f t="shared" si="4"/>
        <v>0 to 10</v>
      </c>
      <c r="L88" s="1">
        <v>30</v>
      </c>
      <c r="M88" t="s">
        <v>2065</v>
      </c>
      <c r="N88" t="s">
        <v>2069</v>
      </c>
      <c r="O88">
        <v>2.2999999999999998</v>
      </c>
      <c r="P88">
        <v>0</v>
      </c>
      <c r="Q88" t="s">
        <v>2077</v>
      </c>
      <c r="R88">
        <v>0.91</v>
      </c>
      <c r="S88" s="2">
        <v>0.91</v>
      </c>
      <c r="T88" s="2" t="str">
        <f t="shared" si="5"/>
        <v>91% to 100%</v>
      </c>
    </row>
    <row r="89" spans="1:21" x14ac:dyDescent="0.3">
      <c r="A89" t="s">
        <v>240</v>
      </c>
      <c r="B89" t="s">
        <v>241</v>
      </c>
      <c r="C89" t="s">
        <v>76</v>
      </c>
      <c r="D89" t="s">
        <v>80</v>
      </c>
      <c r="E89">
        <v>59</v>
      </c>
      <c r="F89" t="str">
        <f t="shared" si="3"/>
        <v>51 to 60</v>
      </c>
      <c r="G89" t="s">
        <v>27</v>
      </c>
      <c r="H89" t="s">
        <v>28</v>
      </c>
      <c r="I89" t="s">
        <v>108</v>
      </c>
      <c r="J89">
        <v>7</v>
      </c>
      <c r="K89" t="str">
        <f t="shared" si="4"/>
        <v>0 to 10</v>
      </c>
      <c r="L89" s="1">
        <v>40</v>
      </c>
      <c r="M89" t="s">
        <v>2065</v>
      </c>
      <c r="N89" t="s">
        <v>2067</v>
      </c>
      <c r="O89">
        <v>1.4</v>
      </c>
      <c r="P89" t="b">
        <v>0</v>
      </c>
      <c r="Q89" t="s">
        <v>2077</v>
      </c>
      <c r="R89">
        <v>0.81</v>
      </c>
      <c r="S89" s="2">
        <v>0.81</v>
      </c>
      <c r="T89" s="2" t="str">
        <f t="shared" si="5"/>
        <v>81% to 90%</v>
      </c>
    </row>
    <row r="90" spans="1:21" x14ac:dyDescent="0.3">
      <c r="A90" t="s">
        <v>242</v>
      </c>
      <c r="B90" t="s">
        <v>243</v>
      </c>
      <c r="C90" t="s">
        <v>76</v>
      </c>
      <c r="D90" t="s">
        <v>80</v>
      </c>
      <c r="E90">
        <v>45</v>
      </c>
      <c r="F90" t="str">
        <f t="shared" si="3"/>
        <v>41 to 50</v>
      </c>
      <c r="G90" t="s">
        <v>118</v>
      </c>
      <c r="H90" t="s">
        <v>119</v>
      </c>
      <c r="I90" t="s">
        <v>108</v>
      </c>
      <c r="J90">
        <v>11</v>
      </c>
      <c r="K90" t="str">
        <f t="shared" si="4"/>
        <v>11 to 20</v>
      </c>
      <c r="L90" s="1">
        <v>75</v>
      </c>
      <c r="M90" t="s">
        <v>2068</v>
      </c>
      <c r="N90" t="s">
        <v>2066</v>
      </c>
      <c r="O90">
        <v>4</v>
      </c>
      <c r="P90" t="s">
        <v>53</v>
      </c>
      <c r="Q90" t="s">
        <v>2077</v>
      </c>
      <c r="R90">
        <v>1</v>
      </c>
      <c r="S90" s="2">
        <v>1</v>
      </c>
      <c r="T90" s="2" t="str">
        <f t="shared" si="5"/>
        <v>91% to 100%</v>
      </c>
    </row>
    <row r="91" spans="1:21" x14ac:dyDescent="0.3">
      <c r="A91" t="s">
        <v>244</v>
      </c>
      <c r="B91" t="s">
        <v>245</v>
      </c>
      <c r="C91" t="s">
        <v>76</v>
      </c>
      <c r="D91" t="s">
        <v>80</v>
      </c>
      <c r="E91">
        <v>30</v>
      </c>
      <c r="F91" t="str">
        <f t="shared" si="3"/>
        <v>21 to 30</v>
      </c>
      <c r="G91" t="s">
        <v>188</v>
      </c>
      <c r="H91" t="s">
        <v>189</v>
      </c>
      <c r="I91" t="s">
        <v>66</v>
      </c>
      <c r="J91">
        <v>7</v>
      </c>
      <c r="K91" t="str">
        <f t="shared" si="4"/>
        <v>0 to 10</v>
      </c>
      <c r="L91" s="1">
        <v>30</v>
      </c>
      <c r="M91" t="s">
        <v>2069</v>
      </c>
      <c r="O91">
        <v>3.3</v>
      </c>
      <c r="R91">
        <v>0.68</v>
      </c>
      <c r="S91" s="2">
        <v>0.68</v>
      </c>
      <c r="T91" s="2" t="str">
        <f t="shared" si="5"/>
        <v>61% to 70 %</v>
      </c>
    </row>
    <row r="92" spans="1:21" x14ac:dyDescent="0.3">
      <c r="A92" t="s">
        <v>246</v>
      </c>
      <c r="B92" t="s">
        <v>247</v>
      </c>
      <c r="C92" t="s">
        <v>76</v>
      </c>
      <c r="D92" t="s">
        <v>80</v>
      </c>
      <c r="E92">
        <v>47</v>
      </c>
      <c r="F92" t="str">
        <f t="shared" si="3"/>
        <v>41 to 50</v>
      </c>
      <c r="G92" t="s">
        <v>155</v>
      </c>
      <c r="H92" t="s">
        <v>17</v>
      </c>
      <c r="I92" t="s">
        <v>108</v>
      </c>
      <c r="J92">
        <v>29</v>
      </c>
      <c r="K92" t="str">
        <f t="shared" si="4"/>
        <v>21 to 30</v>
      </c>
      <c r="L92" s="1">
        <v>50</v>
      </c>
      <c r="M92" t="s">
        <v>2065</v>
      </c>
      <c r="N92" t="s">
        <v>2071</v>
      </c>
      <c r="P92">
        <v>1</v>
      </c>
      <c r="Q92" t="s">
        <v>2076</v>
      </c>
      <c r="R92">
        <v>0.79</v>
      </c>
      <c r="S92" s="2">
        <v>0.79</v>
      </c>
      <c r="T92" s="2" t="str">
        <f t="shared" si="5"/>
        <v>71% to 80%</v>
      </c>
    </row>
    <row r="93" spans="1:21" x14ac:dyDescent="0.3">
      <c r="A93" t="s">
        <v>248</v>
      </c>
      <c r="B93" t="s">
        <v>249</v>
      </c>
      <c r="C93" t="s">
        <v>76</v>
      </c>
      <c r="D93" t="s">
        <v>80</v>
      </c>
      <c r="E93">
        <v>36</v>
      </c>
      <c r="F93" t="str">
        <f t="shared" si="3"/>
        <v>31 to 40</v>
      </c>
      <c r="G93" t="s">
        <v>46</v>
      </c>
      <c r="H93" t="s">
        <v>17</v>
      </c>
      <c r="I93" t="s">
        <v>63</v>
      </c>
      <c r="J93">
        <v>8</v>
      </c>
      <c r="K93" t="str">
        <f t="shared" si="4"/>
        <v>0 to 10</v>
      </c>
      <c r="L93" s="1">
        <v>100</v>
      </c>
      <c r="M93" t="s">
        <v>2070</v>
      </c>
      <c r="O93">
        <v>1.7</v>
      </c>
      <c r="P93" t="s">
        <v>53</v>
      </c>
      <c r="Q93" t="s">
        <v>2077</v>
      </c>
      <c r="R93">
        <v>0.68</v>
      </c>
      <c r="S93" s="2">
        <v>0.68</v>
      </c>
      <c r="T93" s="2" t="str">
        <f t="shared" si="5"/>
        <v>61% to 70 %</v>
      </c>
    </row>
    <row r="94" spans="1:21" x14ac:dyDescent="0.3">
      <c r="A94" t="s">
        <v>250</v>
      </c>
      <c r="B94" t="s">
        <v>251</v>
      </c>
      <c r="C94" t="s">
        <v>76</v>
      </c>
      <c r="D94" t="s">
        <v>80</v>
      </c>
      <c r="E94">
        <v>48</v>
      </c>
      <c r="F94" t="str">
        <f t="shared" si="3"/>
        <v>41 to 50</v>
      </c>
      <c r="G94" t="s">
        <v>158</v>
      </c>
      <c r="H94" t="s">
        <v>159</v>
      </c>
      <c r="I94" t="s">
        <v>33</v>
      </c>
      <c r="J94">
        <v>2</v>
      </c>
      <c r="K94" t="str">
        <f t="shared" si="4"/>
        <v>0 to 10</v>
      </c>
      <c r="L94" s="1">
        <v>75</v>
      </c>
      <c r="M94" t="s">
        <v>2066</v>
      </c>
      <c r="O94">
        <v>1.6</v>
      </c>
      <c r="P94" t="s">
        <v>53</v>
      </c>
      <c r="Q94" t="s">
        <v>2077</v>
      </c>
      <c r="R94">
        <v>0.67</v>
      </c>
      <c r="S94" s="2">
        <v>0.67</v>
      </c>
      <c r="T94" s="2" t="str">
        <f t="shared" si="5"/>
        <v>61% to 70 %</v>
      </c>
    </row>
    <row r="95" spans="1:21" x14ac:dyDescent="0.3">
      <c r="A95" t="s">
        <v>252</v>
      </c>
      <c r="B95" t="s">
        <v>253</v>
      </c>
      <c r="C95" t="s">
        <v>15</v>
      </c>
      <c r="D95" t="s">
        <v>20</v>
      </c>
      <c r="F95" t="str">
        <f t="shared" si="3"/>
        <v/>
      </c>
      <c r="G95" t="s">
        <v>254</v>
      </c>
      <c r="H95" t="s">
        <v>255</v>
      </c>
      <c r="I95" t="s">
        <v>63</v>
      </c>
      <c r="J95">
        <v>11</v>
      </c>
      <c r="K95" t="str">
        <f t="shared" si="4"/>
        <v>11 to 20</v>
      </c>
      <c r="L95" s="1">
        <v>100</v>
      </c>
      <c r="M95" t="s">
        <v>2068</v>
      </c>
      <c r="N95" t="s">
        <v>2070</v>
      </c>
      <c r="O95">
        <v>2.5</v>
      </c>
      <c r="P95" t="s">
        <v>19</v>
      </c>
      <c r="Q95" t="s">
        <v>2076</v>
      </c>
      <c r="R95">
        <v>80</v>
      </c>
      <c r="S95" s="2">
        <v>0.8</v>
      </c>
      <c r="T95" s="2" t="str">
        <f t="shared" si="5"/>
        <v>71% to 80%</v>
      </c>
      <c r="U95">
        <v>0.8</v>
      </c>
    </row>
    <row r="96" spans="1:21" x14ac:dyDescent="0.3">
      <c r="A96" t="s">
        <v>256</v>
      </c>
      <c r="B96" t="s">
        <v>257</v>
      </c>
      <c r="C96" t="s">
        <v>15</v>
      </c>
      <c r="D96" t="s">
        <v>20</v>
      </c>
      <c r="E96">
        <v>59</v>
      </c>
      <c r="F96" t="str">
        <f t="shared" si="3"/>
        <v>51 to 60</v>
      </c>
      <c r="G96" t="s">
        <v>42</v>
      </c>
      <c r="H96" t="s">
        <v>43</v>
      </c>
      <c r="I96" t="s">
        <v>108</v>
      </c>
      <c r="J96">
        <v>30</v>
      </c>
      <c r="K96" t="str">
        <f t="shared" si="4"/>
        <v>21 to 30</v>
      </c>
      <c r="L96" s="1">
        <v>40</v>
      </c>
      <c r="M96" t="s">
        <v>2065</v>
      </c>
      <c r="N96" t="s">
        <v>2067</v>
      </c>
      <c r="O96">
        <v>0</v>
      </c>
      <c r="P96" t="b">
        <v>1</v>
      </c>
      <c r="Q96" t="s">
        <v>2076</v>
      </c>
      <c r="T96" s="2" t="str">
        <f t="shared" si="5"/>
        <v/>
      </c>
    </row>
    <row r="97" spans="1:21" x14ac:dyDescent="0.3">
      <c r="A97" t="s">
        <v>258</v>
      </c>
      <c r="B97" t="s">
        <v>259</v>
      </c>
      <c r="C97" t="s">
        <v>15</v>
      </c>
      <c r="D97" t="s">
        <v>20</v>
      </c>
      <c r="E97">
        <v>30</v>
      </c>
      <c r="F97" t="str">
        <f t="shared" si="3"/>
        <v>21 to 30</v>
      </c>
      <c r="G97" t="s">
        <v>118</v>
      </c>
      <c r="H97" t="s">
        <v>119</v>
      </c>
      <c r="I97" t="s">
        <v>52</v>
      </c>
      <c r="J97">
        <v>10</v>
      </c>
      <c r="K97" t="str">
        <f t="shared" si="4"/>
        <v>0 to 10</v>
      </c>
      <c r="L97" s="1">
        <v>100</v>
      </c>
      <c r="M97" t="s">
        <v>2065</v>
      </c>
      <c r="N97" t="s">
        <v>2070</v>
      </c>
      <c r="O97">
        <v>1.7</v>
      </c>
      <c r="P97" t="s">
        <v>19</v>
      </c>
      <c r="Q97" t="s">
        <v>2076</v>
      </c>
      <c r="R97">
        <v>0.64</v>
      </c>
      <c r="S97" s="2">
        <v>0.64</v>
      </c>
      <c r="T97" s="2" t="str">
        <f t="shared" si="5"/>
        <v>61% to 70 %</v>
      </c>
    </row>
    <row r="98" spans="1:21" x14ac:dyDescent="0.3">
      <c r="A98" t="s">
        <v>260</v>
      </c>
      <c r="B98" t="s">
        <v>261</v>
      </c>
      <c r="C98" t="s">
        <v>111</v>
      </c>
      <c r="D98" t="s">
        <v>80</v>
      </c>
      <c r="E98">
        <v>53</v>
      </c>
      <c r="F98" t="str">
        <f t="shared" si="3"/>
        <v>51 to 60</v>
      </c>
      <c r="G98" t="s">
        <v>104</v>
      </c>
      <c r="H98" t="s">
        <v>105</v>
      </c>
      <c r="I98" t="s">
        <v>47</v>
      </c>
      <c r="J98">
        <v>13</v>
      </c>
      <c r="K98" t="str">
        <f t="shared" si="4"/>
        <v>11 to 20</v>
      </c>
      <c r="L98" s="1">
        <v>50</v>
      </c>
      <c r="M98" t="s">
        <v>2065</v>
      </c>
      <c r="N98" t="s">
        <v>2071</v>
      </c>
      <c r="O98">
        <v>3.3</v>
      </c>
      <c r="P98" t="s">
        <v>96</v>
      </c>
      <c r="Q98" t="s">
        <v>2076</v>
      </c>
      <c r="R98">
        <v>0.93</v>
      </c>
      <c r="S98" s="2">
        <v>0.93</v>
      </c>
      <c r="T98" s="2" t="str">
        <f t="shared" si="5"/>
        <v>91% to 100%</v>
      </c>
    </row>
    <row r="99" spans="1:21" x14ac:dyDescent="0.3">
      <c r="A99" t="s">
        <v>262</v>
      </c>
      <c r="B99" t="s">
        <v>263</v>
      </c>
      <c r="C99" t="s">
        <v>76</v>
      </c>
      <c r="D99" t="s">
        <v>80</v>
      </c>
      <c r="E99">
        <v>51</v>
      </c>
      <c r="F99" t="str">
        <f t="shared" si="3"/>
        <v>51 to 60</v>
      </c>
      <c r="G99" t="s">
        <v>188</v>
      </c>
      <c r="H99" t="s">
        <v>189</v>
      </c>
      <c r="I99" t="s">
        <v>66</v>
      </c>
      <c r="J99">
        <v>28</v>
      </c>
      <c r="K99" t="str">
        <f t="shared" si="4"/>
        <v>21 to 30</v>
      </c>
      <c r="L99" s="1">
        <v>40</v>
      </c>
      <c r="M99" t="s">
        <v>2067</v>
      </c>
      <c r="O99">
        <v>3.9</v>
      </c>
      <c r="P99">
        <v>0</v>
      </c>
      <c r="Q99" t="s">
        <v>2077</v>
      </c>
      <c r="R99">
        <v>0.63</v>
      </c>
      <c r="S99" s="2">
        <v>0.63</v>
      </c>
      <c r="T99" s="2" t="str">
        <f t="shared" si="5"/>
        <v>61% to 70 %</v>
      </c>
    </row>
    <row r="100" spans="1:21" x14ac:dyDescent="0.3">
      <c r="A100" t="s">
        <v>264</v>
      </c>
      <c r="B100" t="s">
        <v>265</v>
      </c>
      <c r="C100" t="s">
        <v>76</v>
      </c>
      <c r="D100" t="s">
        <v>80</v>
      </c>
      <c r="E100">
        <v>39</v>
      </c>
      <c r="F100" t="str">
        <f t="shared" si="3"/>
        <v>31 to 40</v>
      </c>
      <c r="G100" t="s">
        <v>77</v>
      </c>
      <c r="H100" t="s">
        <v>78</v>
      </c>
      <c r="I100" t="s">
        <v>39</v>
      </c>
      <c r="J100">
        <v>21</v>
      </c>
      <c r="K100" t="str">
        <f t="shared" si="4"/>
        <v>21 to 30</v>
      </c>
      <c r="L100" s="1">
        <v>100</v>
      </c>
      <c r="M100" t="s">
        <v>2070</v>
      </c>
      <c r="O100">
        <v>0</v>
      </c>
      <c r="P100" t="s">
        <v>67</v>
      </c>
      <c r="Q100" t="s">
        <v>2077</v>
      </c>
      <c r="R100">
        <v>0.91</v>
      </c>
      <c r="S100" s="2">
        <v>0.91</v>
      </c>
      <c r="T100" s="2" t="str">
        <f t="shared" si="5"/>
        <v>91% to 100%</v>
      </c>
    </row>
    <row r="101" spans="1:21" x14ac:dyDescent="0.3">
      <c r="A101" t="s">
        <v>266</v>
      </c>
      <c r="B101" t="s">
        <v>267</v>
      </c>
      <c r="C101" t="s">
        <v>15</v>
      </c>
      <c r="D101" t="s">
        <v>20</v>
      </c>
      <c r="E101">
        <v>25</v>
      </c>
      <c r="F101" t="str">
        <f t="shared" si="3"/>
        <v>21 to 30</v>
      </c>
      <c r="G101" t="s">
        <v>27</v>
      </c>
      <c r="H101" t="s">
        <v>28</v>
      </c>
      <c r="I101" t="s">
        <v>63</v>
      </c>
      <c r="J101">
        <v>4</v>
      </c>
      <c r="K101" t="str">
        <f t="shared" si="4"/>
        <v>0 to 10</v>
      </c>
      <c r="L101" s="1">
        <v>40</v>
      </c>
      <c r="M101" t="s">
        <v>2065</v>
      </c>
      <c r="N101" t="s">
        <v>2067</v>
      </c>
      <c r="O101">
        <v>2.2999999999999998</v>
      </c>
      <c r="P101" t="s">
        <v>19</v>
      </c>
      <c r="Q101" t="s">
        <v>2076</v>
      </c>
      <c r="R101">
        <v>73</v>
      </c>
      <c r="S101" s="2">
        <v>0.73</v>
      </c>
      <c r="T101" s="2" t="str">
        <f t="shared" si="5"/>
        <v>71% to 80%</v>
      </c>
      <c r="U101">
        <v>0.73</v>
      </c>
    </row>
    <row r="102" spans="1:21" x14ac:dyDescent="0.3">
      <c r="A102" t="s">
        <v>268</v>
      </c>
      <c r="B102" t="s">
        <v>269</v>
      </c>
      <c r="C102" t="s">
        <v>36</v>
      </c>
      <c r="D102" t="s">
        <v>20</v>
      </c>
      <c r="E102">
        <v>45</v>
      </c>
      <c r="F102" t="str">
        <f t="shared" si="3"/>
        <v>41 to 50</v>
      </c>
      <c r="G102" t="s">
        <v>158</v>
      </c>
      <c r="H102" t="s">
        <v>159</v>
      </c>
      <c r="I102" t="s">
        <v>33</v>
      </c>
      <c r="J102">
        <v>6</v>
      </c>
      <c r="K102" t="str">
        <f t="shared" si="4"/>
        <v>0 to 10</v>
      </c>
      <c r="L102" s="1">
        <v>50</v>
      </c>
      <c r="M102" t="s">
        <v>2071</v>
      </c>
      <c r="O102">
        <v>1.4</v>
      </c>
      <c r="R102">
        <v>97</v>
      </c>
      <c r="S102" s="2">
        <v>0.97</v>
      </c>
      <c r="T102" s="2" t="str">
        <f t="shared" si="5"/>
        <v>91% to 100%</v>
      </c>
      <c r="U102">
        <v>0.97</v>
      </c>
    </row>
    <row r="103" spans="1:21" x14ac:dyDescent="0.3">
      <c r="A103" t="s">
        <v>270</v>
      </c>
      <c r="B103" t="s">
        <v>271</v>
      </c>
      <c r="C103" t="s">
        <v>111</v>
      </c>
      <c r="D103" t="s">
        <v>80</v>
      </c>
      <c r="F103" t="str">
        <f t="shared" si="3"/>
        <v/>
      </c>
      <c r="G103" t="s">
        <v>104</v>
      </c>
      <c r="H103" t="s">
        <v>105</v>
      </c>
      <c r="I103" t="s">
        <v>52</v>
      </c>
      <c r="J103">
        <v>6</v>
      </c>
      <c r="K103" t="str">
        <f t="shared" si="4"/>
        <v>0 to 10</v>
      </c>
      <c r="L103" s="1">
        <v>40</v>
      </c>
      <c r="M103" t="s">
        <v>2067</v>
      </c>
      <c r="O103">
        <v>3.5</v>
      </c>
      <c r="P103">
        <v>0</v>
      </c>
      <c r="Q103" t="s">
        <v>2077</v>
      </c>
      <c r="R103">
        <v>0.76</v>
      </c>
      <c r="S103" s="2">
        <v>0.76</v>
      </c>
      <c r="T103" s="2" t="str">
        <f t="shared" si="5"/>
        <v>71% to 80%</v>
      </c>
    </row>
    <row r="104" spans="1:21" x14ac:dyDescent="0.3">
      <c r="A104" t="s">
        <v>272</v>
      </c>
      <c r="B104" t="s">
        <v>273</v>
      </c>
      <c r="C104" t="s">
        <v>111</v>
      </c>
      <c r="D104" t="s">
        <v>80</v>
      </c>
      <c r="E104">
        <v>48</v>
      </c>
      <c r="F104" t="str">
        <f t="shared" si="3"/>
        <v>41 to 50</v>
      </c>
      <c r="G104" t="s">
        <v>91</v>
      </c>
      <c r="H104" t="s">
        <v>59</v>
      </c>
      <c r="I104" t="s">
        <v>60</v>
      </c>
      <c r="J104">
        <v>24</v>
      </c>
      <c r="K104" t="str">
        <f t="shared" si="4"/>
        <v>21 to 30</v>
      </c>
      <c r="L104" s="1">
        <v>100</v>
      </c>
      <c r="M104" t="s">
        <v>2070</v>
      </c>
      <c r="O104">
        <v>4.8</v>
      </c>
      <c r="P104">
        <v>1</v>
      </c>
      <c r="Q104" t="s">
        <v>2076</v>
      </c>
      <c r="R104">
        <v>0.84</v>
      </c>
      <c r="S104" s="2">
        <v>0.84</v>
      </c>
      <c r="T104" s="2" t="str">
        <f t="shared" si="5"/>
        <v>81% to 90%</v>
      </c>
    </row>
    <row r="105" spans="1:21" x14ac:dyDescent="0.3">
      <c r="A105" t="s">
        <v>274</v>
      </c>
      <c r="B105" t="s">
        <v>275</v>
      </c>
      <c r="C105" t="s">
        <v>76</v>
      </c>
      <c r="D105" t="s">
        <v>80</v>
      </c>
      <c r="E105">
        <v>39</v>
      </c>
      <c r="F105" t="str">
        <f t="shared" si="3"/>
        <v>31 to 40</v>
      </c>
      <c r="G105" t="s">
        <v>16</v>
      </c>
      <c r="H105" t="s">
        <v>17</v>
      </c>
      <c r="I105" t="s">
        <v>52</v>
      </c>
      <c r="J105">
        <v>15</v>
      </c>
      <c r="K105" t="str">
        <f t="shared" si="4"/>
        <v>11 to 20</v>
      </c>
      <c r="L105" s="1">
        <v>50</v>
      </c>
      <c r="M105" t="s">
        <v>2071</v>
      </c>
      <c r="P105">
        <v>0</v>
      </c>
      <c r="Q105" t="s">
        <v>2077</v>
      </c>
      <c r="R105">
        <v>0.8</v>
      </c>
      <c r="S105" s="2">
        <v>0.8</v>
      </c>
      <c r="T105" s="2" t="str">
        <f t="shared" si="5"/>
        <v>71% to 80%</v>
      </c>
    </row>
    <row r="106" spans="1:21" x14ac:dyDescent="0.3">
      <c r="A106" t="s">
        <v>276</v>
      </c>
      <c r="B106" t="s">
        <v>277</v>
      </c>
      <c r="C106" t="s">
        <v>111</v>
      </c>
      <c r="D106" t="s">
        <v>80</v>
      </c>
      <c r="E106">
        <v>49</v>
      </c>
      <c r="F106" t="str">
        <f t="shared" si="3"/>
        <v>41 to 50</v>
      </c>
      <c r="G106" t="s">
        <v>16</v>
      </c>
      <c r="H106" t="s">
        <v>17</v>
      </c>
      <c r="I106" t="s">
        <v>60</v>
      </c>
      <c r="J106">
        <v>25</v>
      </c>
      <c r="K106" t="str">
        <f t="shared" si="4"/>
        <v>21 to 30</v>
      </c>
      <c r="L106" s="1">
        <v>50</v>
      </c>
      <c r="M106" t="s">
        <v>2071</v>
      </c>
      <c r="O106">
        <v>5</v>
      </c>
      <c r="P106" t="s">
        <v>53</v>
      </c>
      <c r="Q106" t="s">
        <v>2077</v>
      </c>
      <c r="R106">
        <v>0.77</v>
      </c>
      <c r="S106" s="2">
        <v>0.77</v>
      </c>
      <c r="T106" s="2" t="str">
        <f t="shared" si="5"/>
        <v>71% to 80%</v>
      </c>
    </row>
    <row r="107" spans="1:21" x14ac:dyDescent="0.3">
      <c r="A107" t="s">
        <v>278</v>
      </c>
      <c r="B107" t="s">
        <v>279</v>
      </c>
      <c r="C107" t="s">
        <v>76</v>
      </c>
      <c r="D107" t="s">
        <v>80</v>
      </c>
      <c r="E107">
        <v>20</v>
      </c>
      <c r="F107" t="str">
        <f t="shared" si="3"/>
        <v>11 to 20</v>
      </c>
      <c r="G107" t="s">
        <v>139</v>
      </c>
      <c r="H107" t="s">
        <v>59</v>
      </c>
      <c r="I107" t="s">
        <v>79</v>
      </c>
      <c r="J107">
        <v>1</v>
      </c>
      <c r="K107" t="str">
        <f t="shared" si="4"/>
        <v>0 to 10</v>
      </c>
      <c r="O107">
        <v>2.7</v>
      </c>
      <c r="P107">
        <v>0</v>
      </c>
      <c r="Q107" t="s">
        <v>2077</v>
      </c>
      <c r="R107">
        <v>94</v>
      </c>
      <c r="S107" s="2">
        <v>0.94</v>
      </c>
      <c r="T107" s="2" t="str">
        <f t="shared" si="5"/>
        <v>91% to 100%</v>
      </c>
      <c r="U107">
        <v>0.94</v>
      </c>
    </row>
    <row r="108" spans="1:21" x14ac:dyDescent="0.3">
      <c r="A108" t="s">
        <v>280</v>
      </c>
      <c r="B108" t="s">
        <v>281</v>
      </c>
      <c r="C108" t="s">
        <v>15</v>
      </c>
      <c r="D108" t="s">
        <v>20</v>
      </c>
      <c r="E108">
        <v>48</v>
      </c>
      <c r="F108" t="str">
        <f t="shared" si="3"/>
        <v>41 to 50</v>
      </c>
      <c r="G108" t="s">
        <v>91</v>
      </c>
      <c r="H108" t="s">
        <v>59</v>
      </c>
      <c r="I108" t="s">
        <v>33</v>
      </c>
      <c r="J108">
        <v>18</v>
      </c>
      <c r="K108" t="str">
        <f t="shared" si="4"/>
        <v>11 to 20</v>
      </c>
      <c r="L108" s="1">
        <v>40</v>
      </c>
      <c r="M108" t="s">
        <v>2065</v>
      </c>
      <c r="N108" t="s">
        <v>2067</v>
      </c>
      <c r="O108">
        <v>3.9</v>
      </c>
      <c r="T108" s="2" t="str">
        <f t="shared" si="5"/>
        <v/>
      </c>
    </row>
    <row r="109" spans="1:21" x14ac:dyDescent="0.3">
      <c r="A109" t="s">
        <v>282</v>
      </c>
      <c r="B109" t="s">
        <v>283</v>
      </c>
      <c r="C109" t="s">
        <v>76</v>
      </c>
      <c r="D109" t="s">
        <v>80</v>
      </c>
      <c r="F109" t="str">
        <f t="shared" si="3"/>
        <v/>
      </c>
      <c r="G109" t="s">
        <v>104</v>
      </c>
      <c r="H109" t="s">
        <v>105</v>
      </c>
      <c r="I109" t="s">
        <v>52</v>
      </c>
      <c r="J109">
        <v>11</v>
      </c>
      <c r="K109" t="str">
        <f t="shared" si="4"/>
        <v>11 to 20</v>
      </c>
      <c r="L109" s="1">
        <v>20</v>
      </c>
      <c r="M109" t="s">
        <v>2065</v>
      </c>
      <c r="N109" t="s">
        <v>2072</v>
      </c>
      <c r="O109">
        <v>3.6</v>
      </c>
      <c r="P109" t="s">
        <v>67</v>
      </c>
      <c r="Q109" t="s">
        <v>2077</v>
      </c>
      <c r="R109">
        <v>0.69</v>
      </c>
      <c r="S109" s="2">
        <v>0.69</v>
      </c>
      <c r="T109" s="2" t="str">
        <f t="shared" si="5"/>
        <v>61% to 70 %</v>
      </c>
    </row>
    <row r="110" spans="1:21" x14ac:dyDescent="0.3">
      <c r="A110" t="s">
        <v>284</v>
      </c>
      <c r="B110" t="s">
        <v>285</v>
      </c>
      <c r="C110" t="s">
        <v>15</v>
      </c>
      <c r="D110" t="s">
        <v>20</v>
      </c>
      <c r="E110">
        <v>41</v>
      </c>
      <c r="F110" t="str">
        <f t="shared" si="3"/>
        <v>41 to 50</v>
      </c>
      <c r="G110" t="s">
        <v>77</v>
      </c>
      <c r="H110" t="s">
        <v>78</v>
      </c>
      <c r="I110" t="s">
        <v>33</v>
      </c>
      <c r="J110">
        <v>22</v>
      </c>
      <c r="K110" t="str">
        <f t="shared" si="4"/>
        <v>21 to 30</v>
      </c>
      <c r="L110" s="1">
        <v>50</v>
      </c>
      <c r="M110" t="s">
        <v>2068</v>
      </c>
      <c r="N110" t="s">
        <v>2071</v>
      </c>
      <c r="O110">
        <v>1.6</v>
      </c>
      <c r="P110">
        <v>1</v>
      </c>
      <c r="Q110" t="s">
        <v>2076</v>
      </c>
      <c r="R110">
        <v>0.61</v>
      </c>
      <c r="S110" s="2">
        <v>0.61</v>
      </c>
      <c r="T110" s="2" t="str">
        <f t="shared" si="5"/>
        <v>61% to 70 %</v>
      </c>
    </row>
    <row r="111" spans="1:21" x14ac:dyDescent="0.3">
      <c r="A111" t="s">
        <v>286</v>
      </c>
      <c r="B111" t="s">
        <v>287</v>
      </c>
      <c r="C111" t="s">
        <v>36</v>
      </c>
      <c r="D111" t="s">
        <v>20</v>
      </c>
      <c r="E111">
        <v>51</v>
      </c>
      <c r="F111" t="str">
        <f t="shared" si="3"/>
        <v>51 to 60</v>
      </c>
      <c r="G111" t="s">
        <v>37</v>
      </c>
      <c r="H111" t="s">
        <v>38</v>
      </c>
      <c r="I111" t="s">
        <v>63</v>
      </c>
      <c r="J111">
        <v>11</v>
      </c>
      <c r="K111" t="str">
        <f t="shared" si="4"/>
        <v>11 to 20</v>
      </c>
      <c r="L111" s="1">
        <v>30</v>
      </c>
      <c r="M111" t="s">
        <v>2068</v>
      </c>
      <c r="N111" t="s">
        <v>2069</v>
      </c>
      <c r="O111">
        <v>3.6</v>
      </c>
      <c r="P111" t="s">
        <v>96</v>
      </c>
      <c r="Q111" t="s">
        <v>2076</v>
      </c>
      <c r="R111">
        <v>0.77</v>
      </c>
      <c r="S111" s="2">
        <v>0.77</v>
      </c>
      <c r="T111" s="2" t="str">
        <f t="shared" si="5"/>
        <v>71% to 80%</v>
      </c>
    </row>
    <row r="112" spans="1:21" x14ac:dyDescent="0.3">
      <c r="A112" t="s">
        <v>288</v>
      </c>
      <c r="B112" t="s">
        <v>289</v>
      </c>
      <c r="C112" t="s">
        <v>15</v>
      </c>
      <c r="D112" t="s">
        <v>20</v>
      </c>
      <c r="E112">
        <v>41</v>
      </c>
      <c r="F112" t="str">
        <f t="shared" si="3"/>
        <v>41 to 50</v>
      </c>
      <c r="G112" t="s">
        <v>58</v>
      </c>
      <c r="H112" t="s">
        <v>59</v>
      </c>
      <c r="I112" t="s">
        <v>66</v>
      </c>
      <c r="J112">
        <v>8</v>
      </c>
      <c r="K112" t="str">
        <f t="shared" si="4"/>
        <v>0 to 10</v>
      </c>
      <c r="L112" s="1">
        <v>50</v>
      </c>
      <c r="M112" t="s">
        <v>2071</v>
      </c>
      <c r="O112">
        <v>4.8</v>
      </c>
      <c r="P112" t="s">
        <v>53</v>
      </c>
      <c r="Q112" t="s">
        <v>2077</v>
      </c>
      <c r="R112">
        <v>0.75</v>
      </c>
      <c r="S112" s="2">
        <v>0.75</v>
      </c>
      <c r="T112" s="2" t="str">
        <f t="shared" si="5"/>
        <v>71% to 80%</v>
      </c>
    </row>
    <row r="113" spans="1:21" x14ac:dyDescent="0.3">
      <c r="A113" t="s">
        <v>290</v>
      </c>
      <c r="B113" t="s">
        <v>291</v>
      </c>
      <c r="C113" t="s">
        <v>15</v>
      </c>
      <c r="D113" t="s">
        <v>20</v>
      </c>
      <c r="E113">
        <v>35</v>
      </c>
      <c r="F113" t="str">
        <f t="shared" si="3"/>
        <v>31 to 40</v>
      </c>
      <c r="G113" t="s">
        <v>139</v>
      </c>
      <c r="H113" t="s">
        <v>59</v>
      </c>
      <c r="I113" t="s">
        <v>66</v>
      </c>
      <c r="K113" t="str">
        <f t="shared" si="4"/>
        <v/>
      </c>
      <c r="L113" s="1">
        <v>100</v>
      </c>
      <c r="M113" t="s">
        <v>2070</v>
      </c>
      <c r="O113">
        <v>3.5</v>
      </c>
      <c r="P113" t="s">
        <v>96</v>
      </c>
      <c r="Q113" t="s">
        <v>2076</v>
      </c>
      <c r="R113">
        <v>0.71</v>
      </c>
      <c r="S113" s="2">
        <v>0.71</v>
      </c>
      <c r="T113" s="2" t="str">
        <f t="shared" si="5"/>
        <v>71% to 80%</v>
      </c>
    </row>
    <row r="114" spans="1:21" x14ac:dyDescent="0.3">
      <c r="A114" t="s">
        <v>292</v>
      </c>
      <c r="B114" t="s">
        <v>293</v>
      </c>
      <c r="C114" t="s">
        <v>36</v>
      </c>
      <c r="D114" t="s">
        <v>20</v>
      </c>
      <c r="E114">
        <v>60</v>
      </c>
      <c r="F114" t="str">
        <f t="shared" si="3"/>
        <v>51 to 60</v>
      </c>
      <c r="G114" t="s">
        <v>16</v>
      </c>
      <c r="H114" t="s">
        <v>17</v>
      </c>
      <c r="I114" t="s">
        <v>18</v>
      </c>
      <c r="J114">
        <v>39</v>
      </c>
      <c r="K114" t="str">
        <f t="shared" si="4"/>
        <v>31 to 40</v>
      </c>
      <c r="L114" s="1">
        <v>20</v>
      </c>
      <c r="M114" t="s">
        <v>2072</v>
      </c>
      <c r="O114">
        <v>1.4</v>
      </c>
      <c r="P114" t="b">
        <v>1</v>
      </c>
      <c r="Q114" t="s">
        <v>2076</v>
      </c>
      <c r="R114">
        <v>0.86</v>
      </c>
      <c r="S114" s="2">
        <v>0.86</v>
      </c>
      <c r="T114" s="2" t="str">
        <f t="shared" si="5"/>
        <v>81% to 90%</v>
      </c>
    </row>
    <row r="115" spans="1:21" x14ac:dyDescent="0.3">
      <c r="A115" t="s">
        <v>294</v>
      </c>
      <c r="B115" t="s">
        <v>295</v>
      </c>
      <c r="C115" t="s">
        <v>76</v>
      </c>
      <c r="D115" t="s">
        <v>80</v>
      </c>
      <c r="E115">
        <v>50</v>
      </c>
      <c r="F115" t="str">
        <f t="shared" si="3"/>
        <v>41 to 50</v>
      </c>
      <c r="G115" t="s">
        <v>188</v>
      </c>
      <c r="H115" t="s">
        <v>189</v>
      </c>
      <c r="I115" t="s">
        <v>79</v>
      </c>
      <c r="J115">
        <v>20</v>
      </c>
      <c r="K115" t="str">
        <f t="shared" si="4"/>
        <v>11 to 20</v>
      </c>
      <c r="L115" s="1">
        <v>40</v>
      </c>
      <c r="M115" t="s">
        <v>2068</v>
      </c>
      <c r="N115" t="s">
        <v>2067</v>
      </c>
      <c r="O115">
        <v>3.6</v>
      </c>
      <c r="P115">
        <v>1</v>
      </c>
      <c r="Q115" t="s">
        <v>2076</v>
      </c>
      <c r="R115">
        <v>0.89</v>
      </c>
      <c r="S115" s="2">
        <v>0.89</v>
      </c>
      <c r="T115" s="2" t="str">
        <f t="shared" si="5"/>
        <v>81% to 90%</v>
      </c>
    </row>
    <row r="116" spans="1:21" x14ac:dyDescent="0.3">
      <c r="A116" t="s">
        <v>296</v>
      </c>
      <c r="B116" t="s">
        <v>297</v>
      </c>
      <c r="C116" t="s">
        <v>36</v>
      </c>
      <c r="D116" t="s">
        <v>20</v>
      </c>
      <c r="E116">
        <v>41</v>
      </c>
      <c r="F116" t="str">
        <f t="shared" si="3"/>
        <v>41 to 50</v>
      </c>
      <c r="G116" t="s">
        <v>16</v>
      </c>
      <c r="H116" t="s">
        <v>17</v>
      </c>
      <c r="I116" t="s">
        <v>47</v>
      </c>
      <c r="J116">
        <v>21</v>
      </c>
      <c r="K116" t="str">
        <f t="shared" si="4"/>
        <v>21 to 30</v>
      </c>
      <c r="L116" s="1">
        <v>50</v>
      </c>
      <c r="M116" t="s">
        <v>2071</v>
      </c>
      <c r="O116">
        <v>3.3</v>
      </c>
      <c r="P116" t="s">
        <v>96</v>
      </c>
      <c r="Q116" t="s">
        <v>2076</v>
      </c>
      <c r="R116">
        <v>0.65</v>
      </c>
      <c r="S116" s="2">
        <v>0.65</v>
      </c>
      <c r="T116" s="2" t="str">
        <f t="shared" si="5"/>
        <v>61% to 70 %</v>
      </c>
    </row>
    <row r="117" spans="1:21" x14ac:dyDescent="0.3">
      <c r="A117" t="s">
        <v>298</v>
      </c>
      <c r="B117" t="s">
        <v>299</v>
      </c>
      <c r="C117" t="s">
        <v>36</v>
      </c>
      <c r="D117" t="s">
        <v>20</v>
      </c>
      <c r="E117">
        <v>31</v>
      </c>
      <c r="F117" t="str">
        <f t="shared" si="3"/>
        <v>31 to 40</v>
      </c>
      <c r="G117" t="s">
        <v>101</v>
      </c>
      <c r="H117" t="s">
        <v>59</v>
      </c>
      <c r="I117" t="s">
        <v>108</v>
      </c>
      <c r="J117">
        <v>1</v>
      </c>
      <c r="K117" t="str">
        <f t="shared" si="4"/>
        <v>0 to 10</v>
      </c>
      <c r="L117" s="1">
        <v>40</v>
      </c>
      <c r="M117" t="s">
        <v>2067</v>
      </c>
      <c r="O117">
        <v>4.5</v>
      </c>
      <c r="P117">
        <v>0</v>
      </c>
      <c r="Q117" t="s">
        <v>2077</v>
      </c>
      <c r="R117">
        <v>0.96</v>
      </c>
      <c r="S117" s="2">
        <v>0.96</v>
      </c>
      <c r="T117" s="2" t="str">
        <f t="shared" si="5"/>
        <v>91% to 100%</v>
      </c>
    </row>
    <row r="118" spans="1:21" x14ac:dyDescent="0.3">
      <c r="A118" t="s">
        <v>300</v>
      </c>
      <c r="B118" t="s">
        <v>301</v>
      </c>
      <c r="C118" t="s">
        <v>15</v>
      </c>
      <c r="D118" t="s">
        <v>20</v>
      </c>
      <c r="F118" t="str">
        <f t="shared" si="3"/>
        <v/>
      </c>
      <c r="G118" t="s">
        <v>23</v>
      </c>
      <c r="H118" t="s">
        <v>24</v>
      </c>
      <c r="I118" t="s">
        <v>60</v>
      </c>
      <c r="J118">
        <v>9</v>
      </c>
      <c r="K118" t="str">
        <f t="shared" si="4"/>
        <v>0 to 10</v>
      </c>
      <c r="L118" s="1">
        <v>100</v>
      </c>
      <c r="M118" t="s">
        <v>2070</v>
      </c>
      <c r="O118">
        <v>4.8</v>
      </c>
      <c r="P118" t="s">
        <v>96</v>
      </c>
      <c r="Q118" t="s">
        <v>2076</v>
      </c>
      <c r="R118">
        <v>0.72</v>
      </c>
      <c r="S118" s="2">
        <v>0.72</v>
      </c>
      <c r="T118" s="2" t="str">
        <f t="shared" si="5"/>
        <v>71% to 80%</v>
      </c>
    </row>
    <row r="119" spans="1:21" x14ac:dyDescent="0.3">
      <c r="A119" t="s">
        <v>302</v>
      </c>
      <c r="B119" t="s">
        <v>303</v>
      </c>
      <c r="C119" t="s">
        <v>15</v>
      </c>
      <c r="D119" t="s">
        <v>20</v>
      </c>
      <c r="F119" t="str">
        <f t="shared" si="3"/>
        <v/>
      </c>
      <c r="G119" t="s">
        <v>158</v>
      </c>
      <c r="H119" t="s">
        <v>159</v>
      </c>
      <c r="I119" t="s">
        <v>108</v>
      </c>
      <c r="J119">
        <v>9</v>
      </c>
      <c r="K119" t="str">
        <f t="shared" si="4"/>
        <v>0 to 10</v>
      </c>
      <c r="L119" s="1">
        <v>40</v>
      </c>
      <c r="M119" t="s">
        <v>2068</v>
      </c>
      <c r="N119" t="s">
        <v>2067</v>
      </c>
      <c r="O119">
        <v>1.7</v>
      </c>
      <c r="P119">
        <v>1</v>
      </c>
      <c r="Q119" t="s">
        <v>2076</v>
      </c>
      <c r="R119">
        <v>72</v>
      </c>
      <c r="S119" s="2">
        <v>0.72</v>
      </c>
      <c r="T119" s="2" t="str">
        <f t="shared" si="5"/>
        <v>71% to 80%</v>
      </c>
      <c r="U119">
        <v>0.72</v>
      </c>
    </row>
    <row r="120" spans="1:21" x14ac:dyDescent="0.3">
      <c r="A120" t="s">
        <v>304</v>
      </c>
      <c r="B120" t="s">
        <v>305</v>
      </c>
      <c r="C120" t="s">
        <v>111</v>
      </c>
      <c r="D120" t="s">
        <v>80</v>
      </c>
      <c r="E120">
        <v>47</v>
      </c>
      <c r="F120" t="str">
        <f t="shared" si="3"/>
        <v>41 to 50</v>
      </c>
      <c r="G120" t="s">
        <v>118</v>
      </c>
      <c r="H120" t="s">
        <v>119</v>
      </c>
      <c r="I120" t="s">
        <v>66</v>
      </c>
      <c r="J120">
        <v>13</v>
      </c>
      <c r="K120" t="str">
        <f t="shared" si="4"/>
        <v>11 to 20</v>
      </c>
      <c r="L120" s="1">
        <v>20</v>
      </c>
      <c r="M120" t="s">
        <v>2072</v>
      </c>
      <c r="O120">
        <v>4.5</v>
      </c>
      <c r="R120">
        <v>0.91</v>
      </c>
      <c r="S120" s="2">
        <v>0.91</v>
      </c>
      <c r="T120" s="2" t="str">
        <f t="shared" si="5"/>
        <v>91% to 100%</v>
      </c>
    </row>
    <row r="121" spans="1:21" x14ac:dyDescent="0.3">
      <c r="A121" t="s">
        <v>306</v>
      </c>
      <c r="B121" t="s">
        <v>307</v>
      </c>
      <c r="C121" t="s">
        <v>111</v>
      </c>
      <c r="D121" t="s">
        <v>80</v>
      </c>
      <c r="E121">
        <v>56</v>
      </c>
      <c r="F121" t="str">
        <f t="shared" si="3"/>
        <v>51 to 60</v>
      </c>
      <c r="G121" t="s">
        <v>42</v>
      </c>
      <c r="H121" t="s">
        <v>43</v>
      </c>
      <c r="I121" t="s">
        <v>79</v>
      </c>
      <c r="J121">
        <v>27</v>
      </c>
      <c r="K121" t="str">
        <f t="shared" si="4"/>
        <v>21 to 30</v>
      </c>
      <c r="L121" s="1">
        <v>100</v>
      </c>
      <c r="M121" t="s">
        <v>2070</v>
      </c>
      <c r="O121">
        <v>4.7</v>
      </c>
      <c r="P121" t="b">
        <v>1</v>
      </c>
      <c r="Q121" t="s">
        <v>2076</v>
      </c>
      <c r="R121">
        <v>0.69</v>
      </c>
      <c r="S121" s="2">
        <v>0.69</v>
      </c>
      <c r="T121" s="2" t="str">
        <f t="shared" si="5"/>
        <v>61% to 70 %</v>
      </c>
    </row>
    <row r="122" spans="1:21" x14ac:dyDescent="0.3">
      <c r="A122" t="s">
        <v>308</v>
      </c>
      <c r="B122" t="s">
        <v>309</v>
      </c>
      <c r="C122" t="s">
        <v>76</v>
      </c>
      <c r="D122" t="s">
        <v>80</v>
      </c>
      <c r="E122">
        <v>21</v>
      </c>
      <c r="F122" t="str">
        <f t="shared" si="3"/>
        <v>21 to 30</v>
      </c>
      <c r="G122" t="s">
        <v>158</v>
      </c>
      <c r="H122" t="s">
        <v>159</v>
      </c>
      <c r="I122" t="s">
        <v>66</v>
      </c>
      <c r="J122">
        <v>2</v>
      </c>
      <c r="K122" t="str">
        <f t="shared" si="4"/>
        <v>0 to 10</v>
      </c>
      <c r="L122" s="1">
        <v>100</v>
      </c>
      <c r="M122" t="s">
        <v>2070</v>
      </c>
      <c r="O122">
        <v>2.6</v>
      </c>
      <c r="P122" t="s">
        <v>96</v>
      </c>
      <c r="Q122" t="s">
        <v>2076</v>
      </c>
      <c r="R122">
        <v>0.85</v>
      </c>
      <c r="S122" s="2">
        <v>0.85</v>
      </c>
      <c r="T122" s="2" t="str">
        <f t="shared" si="5"/>
        <v>81% to 90%</v>
      </c>
    </row>
    <row r="123" spans="1:21" x14ac:dyDescent="0.3">
      <c r="A123" t="s">
        <v>310</v>
      </c>
      <c r="B123" t="s">
        <v>311</v>
      </c>
      <c r="C123" t="s">
        <v>76</v>
      </c>
      <c r="D123" t="s">
        <v>80</v>
      </c>
      <c r="E123">
        <v>36</v>
      </c>
      <c r="F123" t="str">
        <f t="shared" si="3"/>
        <v>31 to 40</v>
      </c>
      <c r="G123" t="s">
        <v>118</v>
      </c>
      <c r="H123" t="s">
        <v>119</v>
      </c>
      <c r="I123" t="s">
        <v>39</v>
      </c>
      <c r="K123" t="str">
        <f t="shared" si="4"/>
        <v/>
      </c>
      <c r="L123" s="1">
        <v>20</v>
      </c>
      <c r="M123" t="s">
        <v>2072</v>
      </c>
      <c r="O123">
        <v>4.0999999999999996</v>
      </c>
      <c r="P123" t="s">
        <v>53</v>
      </c>
      <c r="Q123" t="s">
        <v>2077</v>
      </c>
      <c r="R123">
        <v>0.86</v>
      </c>
      <c r="S123" s="2">
        <v>0.86</v>
      </c>
      <c r="T123" s="2" t="str">
        <f t="shared" si="5"/>
        <v>81% to 90%</v>
      </c>
    </row>
    <row r="124" spans="1:21" x14ac:dyDescent="0.3">
      <c r="A124" t="s">
        <v>312</v>
      </c>
      <c r="B124" t="s">
        <v>313</v>
      </c>
      <c r="C124" t="s">
        <v>111</v>
      </c>
      <c r="D124" t="s">
        <v>80</v>
      </c>
      <c r="E124">
        <v>57</v>
      </c>
      <c r="F124" t="str">
        <f t="shared" si="3"/>
        <v>51 to 60</v>
      </c>
      <c r="G124" t="s">
        <v>101</v>
      </c>
      <c r="H124" t="s">
        <v>59</v>
      </c>
      <c r="I124" t="s">
        <v>18</v>
      </c>
      <c r="J124">
        <v>30</v>
      </c>
      <c r="K124" t="str">
        <f t="shared" si="4"/>
        <v>21 to 30</v>
      </c>
      <c r="L124" s="1">
        <v>30</v>
      </c>
      <c r="M124" t="s">
        <v>2065</v>
      </c>
      <c r="N124" t="s">
        <v>2069</v>
      </c>
      <c r="O124">
        <v>2.4</v>
      </c>
      <c r="R124">
        <v>0.8</v>
      </c>
      <c r="S124" s="2">
        <v>0.8</v>
      </c>
      <c r="T124" s="2" t="str">
        <f t="shared" si="5"/>
        <v>71% to 80%</v>
      </c>
    </row>
    <row r="125" spans="1:21" x14ac:dyDescent="0.3">
      <c r="A125" t="s">
        <v>314</v>
      </c>
      <c r="B125" t="s">
        <v>315</v>
      </c>
      <c r="C125" t="s">
        <v>76</v>
      </c>
      <c r="D125" t="s">
        <v>80</v>
      </c>
      <c r="E125">
        <v>49</v>
      </c>
      <c r="F125" t="str">
        <f t="shared" si="3"/>
        <v>41 to 50</v>
      </c>
      <c r="G125" t="s">
        <v>158</v>
      </c>
      <c r="H125" t="s">
        <v>159</v>
      </c>
      <c r="I125" t="s">
        <v>52</v>
      </c>
      <c r="J125">
        <v>15</v>
      </c>
      <c r="K125" t="str">
        <f t="shared" si="4"/>
        <v>11 to 20</v>
      </c>
      <c r="L125" s="1">
        <v>40</v>
      </c>
      <c r="M125" t="s">
        <v>2067</v>
      </c>
      <c r="O125">
        <v>3.9</v>
      </c>
      <c r="P125" t="b">
        <v>0</v>
      </c>
      <c r="Q125" t="s">
        <v>2077</v>
      </c>
      <c r="R125">
        <v>0.86</v>
      </c>
      <c r="S125" s="2">
        <v>0.86</v>
      </c>
      <c r="T125" s="2" t="str">
        <f t="shared" si="5"/>
        <v>81% to 90%</v>
      </c>
    </row>
    <row r="126" spans="1:21" x14ac:dyDescent="0.3">
      <c r="A126" t="s">
        <v>316</v>
      </c>
      <c r="B126" t="s">
        <v>317</v>
      </c>
      <c r="C126" t="s">
        <v>36</v>
      </c>
      <c r="D126" t="s">
        <v>20</v>
      </c>
      <c r="E126">
        <v>36</v>
      </c>
      <c r="F126" t="str">
        <f t="shared" si="3"/>
        <v>31 to 40</v>
      </c>
      <c r="G126" t="s">
        <v>37</v>
      </c>
      <c r="H126" t="s">
        <v>38</v>
      </c>
      <c r="I126" t="s">
        <v>60</v>
      </c>
      <c r="J126">
        <v>2</v>
      </c>
      <c r="K126" t="str">
        <f t="shared" si="4"/>
        <v>0 to 10</v>
      </c>
      <c r="L126" s="1">
        <v>75</v>
      </c>
      <c r="M126" t="s">
        <v>2066</v>
      </c>
      <c r="O126">
        <v>0</v>
      </c>
      <c r="P126" t="b">
        <v>0</v>
      </c>
      <c r="Q126" t="s">
        <v>2077</v>
      </c>
      <c r="R126">
        <v>0.92</v>
      </c>
      <c r="S126" s="2">
        <v>0.92</v>
      </c>
      <c r="T126" s="2" t="str">
        <f t="shared" si="5"/>
        <v>91% to 100%</v>
      </c>
    </row>
    <row r="127" spans="1:21" x14ac:dyDescent="0.3">
      <c r="A127" t="s">
        <v>318</v>
      </c>
      <c r="B127" t="s">
        <v>319</v>
      </c>
      <c r="C127" t="s">
        <v>15</v>
      </c>
      <c r="D127" t="s">
        <v>20</v>
      </c>
      <c r="E127">
        <v>29</v>
      </c>
      <c r="F127" t="str">
        <f t="shared" si="3"/>
        <v>21 to 30</v>
      </c>
      <c r="G127" t="s">
        <v>27</v>
      </c>
      <c r="H127" t="s">
        <v>28</v>
      </c>
      <c r="I127" t="s">
        <v>108</v>
      </c>
      <c r="J127">
        <v>8</v>
      </c>
      <c r="K127" t="str">
        <f t="shared" si="4"/>
        <v>0 to 10</v>
      </c>
      <c r="L127" s="1">
        <v>40</v>
      </c>
      <c r="M127" t="s">
        <v>2067</v>
      </c>
      <c r="O127">
        <v>3.1</v>
      </c>
      <c r="P127" t="s">
        <v>53</v>
      </c>
      <c r="Q127" t="s">
        <v>2077</v>
      </c>
      <c r="R127">
        <v>0.6</v>
      </c>
      <c r="S127" s="2">
        <v>0.6</v>
      </c>
      <c r="T127" s="2" t="str">
        <f t="shared" si="5"/>
        <v>50% to 60%</v>
      </c>
    </row>
    <row r="128" spans="1:21" x14ac:dyDescent="0.3">
      <c r="A128" t="s">
        <v>320</v>
      </c>
      <c r="B128" t="s">
        <v>321</v>
      </c>
      <c r="C128" t="s">
        <v>36</v>
      </c>
      <c r="D128" t="s">
        <v>20</v>
      </c>
      <c r="E128">
        <v>32</v>
      </c>
      <c r="F128" t="str">
        <f t="shared" si="3"/>
        <v>31 to 40</v>
      </c>
      <c r="G128" t="s">
        <v>42</v>
      </c>
      <c r="H128" t="s">
        <v>43</v>
      </c>
      <c r="I128" t="s">
        <v>63</v>
      </c>
      <c r="J128">
        <v>10</v>
      </c>
      <c r="K128" t="str">
        <f t="shared" si="4"/>
        <v>0 to 10</v>
      </c>
      <c r="L128" s="1">
        <v>30</v>
      </c>
      <c r="M128" t="s">
        <v>2065</v>
      </c>
      <c r="N128" t="s">
        <v>2069</v>
      </c>
      <c r="O128">
        <v>3.8</v>
      </c>
      <c r="P128">
        <v>0</v>
      </c>
      <c r="Q128" t="s">
        <v>2077</v>
      </c>
      <c r="R128">
        <v>0.61</v>
      </c>
      <c r="S128" s="2">
        <v>0.61</v>
      </c>
      <c r="T128" s="2" t="str">
        <f t="shared" si="5"/>
        <v>61% to 70 %</v>
      </c>
    </row>
    <row r="129" spans="1:21" x14ac:dyDescent="0.3">
      <c r="A129" t="s">
        <v>322</v>
      </c>
      <c r="B129" t="s">
        <v>323</v>
      </c>
      <c r="C129" t="s">
        <v>15</v>
      </c>
      <c r="D129" t="s">
        <v>20</v>
      </c>
      <c r="E129">
        <v>21</v>
      </c>
      <c r="F129" t="str">
        <f t="shared" si="3"/>
        <v>21 to 30</v>
      </c>
      <c r="G129" t="s">
        <v>23</v>
      </c>
      <c r="H129" t="s">
        <v>24</v>
      </c>
      <c r="I129" t="s">
        <v>18</v>
      </c>
      <c r="J129">
        <v>1</v>
      </c>
      <c r="K129" t="str">
        <f t="shared" si="4"/>
        <v>0 to 10</v>
      </c>
      <c r="L129" s="1">
        <v>100</v>
      </c>
      <c r="M129" t="s">
        <v>2070</v>
      </c>
      <c r="O129">
        <v>2.1</v>
      </c>
      <c r="P129">
        <v>1</v>
      </c>
      <c r="Q129" t="s">
        <v>2076</v>
      </c>
      <c r="R129">
        <v>0.92</v>
      </c>
      <c r="S129" s="2">
        <v>0.92</v>
      </c>
      <c r="T129" s="2" t="str">
        <f t="shared" si="5"/>
        <v>91% to 100%</v>
      </c>
    </row>
    <row r="130" spans="1:21" x14ac:dyDescent="0.3">
      <c r="A130" t="s">
        <v>324</v>
      </c>
      <c r="B130" t="s">
        <v>325</v>
      </c>
      <c r="C130" t="s">
        <v>15</v>
      </c>
      <c r="D130" t="s">
        <v>20</v>
      </c>
      <c r="E130">
        <v>32</v>
      </c>
      <c r="F130" t="str">
        <f t="shared" ref="F130:F193" si="6">IF(OR($E130="",NOT(ISNUMBER($E130))),"",
 IF($E130&lt;=20,"11 to 20",
 IF($E130&lt;=30,"21 to 30",
 IF($E130&lt;=40,"31 to 40",
 IF($E130&lt;=50,"41 to 50",
 IF($E130&lt;=60,"51 to 60"))))))</f>
        <v>31 to 40</v>
      </c>
      <c r="G130" t="s">
        <v>83</v>
      </c>
      <c r="H130" t="s">
        <v>84</v>
      </c>
      <c r="I130" t="s">
        <v>47</v>
      </c>
      <c r="J130">
        <v>11</v>
      </c>
      <c r="K130" t="str">
        <f t="shared" ref="K130:K193" si="7">IF(OR($J130="",NOT(ISNUMBER($J130))),"",
 IF($J130&lt;=10,"0 to 10",
 IF($J130&lt;=20,"11 to 20",
 IF($J130&lt;=30,"21 to 30",
 IF($J130&lt;=40,"31 to 40",
 "40+")))))</f>
        <v>11 to 20</v>
      </c>
      <c r="L130" s="1">
        <v>40</v>
      </c>
      <c r="M130" t="s">
        <v>2067</v>
      </c>
      <c r="O130">
        <v>4.3</v>
      </c>
      <c r="P130" t="b">
        <v>1</v>
      </c>
      <c r="Q130" t="s">
        <v>2076</v>
      </c>
      <c r="R130">
        <v>0.86</v>
      </c>
      <c r="S130" s="2">
        <v>0.86</v>
      </c>
      <c r="T130" s="2" t="str">
        <f t="shared" ref="T130:T193" si="8">IF(OR($S130="",NOT(ISNUMBER($S130))),"",
 IF($S130&lt;=0.6,"50% to 60%",
 IF($S130&lt;=0.7,"61% to 70 %",
 IF($S130&lt;=0.8,"71% to 80%",
 IF($S130&lt;=0.9,"81% to 90%",
 IF($S130&lt;=1,"91% to 100%"))))))</f>
        <v>81% to 90%</v>
      </c>
    </row>
    <row r="131" spans="1:21" x14ac:dyDescent="0.3">
      <c r="A131" t="s">
        <v>326</v>
      </c>
      <c r="B131" t="s">
        <v>327</v>
      </c>
      <c r="C131" t="s">
        <v>15</v>
      </c>
      <c r="D131" t="s">
        <v>20</v>
      </c>
      <c r="E131">
        <v>44</v>
      </c>
      <c r="F131" t="str">
        <f t="shared" si="6"/>
        <v>41 to 50</v>
      </c>
      <c r="G131" t="s">
        <v>46</v>
      </c>
      <c r="H131" t="s">
        <v>17</v>
      </c>
      <c r="I131" t="s">
        <v>79</v>
      </c>
      <c r="J131">
        <v>24</v>
      </c>
      <c r="K131" t="str">
        <f t="shared" si="7"/>
        <v>21 to 30</v>
      </c>
      <c r="L131" s="1">
        <v>75</v>
      </c>
      <c r="M131" t="s">
        <v>2068</v>
      </c>
      <c r="N131" t="s">
        <v>2066</v>
      </c>
      <c r="O131">
        <v>4.5999999999999996</v>
      </c>
      <c r="P131" t="s">
        <v>67</v>
      </c>
      <c r="Q131" t="s">
        <v>2077</v>
      </c>
      <c r="R131">
        <v>0.97</v>
      </c>
      <c r="S131" s="2">
        <v>0.97</v>
      </c>
      <c r="T131" s="2" t="str">
        <f t="shared" si="8"/>
        <v>91% to 100%</v>
      </c>
    </row>
    <row r="132" spans="1:21" x14ac:dyDescent="0.3">
      <c r="A132" t="s">
        <v>328</v>
      </c>
      <c r="B132" t="s">
        <v>329</v>
      </c>
      <c r="C132" t="s">
        <v>111</v>
      </c>
      <c r="D132" t="s">
        <v>80</v>
      </c>
      <c r="E132">
        <v>38</v>
      </c>
      <c r="F132" t="str">
        <f t="shared" si="6"/>
        <v>31 to 40</v>
      </c>
      <c r="G132" t="s">
        <v>155</v>
      </c>
      <c r="H132" t="s">
        <v>17</v>
      </c>
      <c r="I132" t="s">
        <v>39</v>
      </c>
      <c r="J132">
        <v>19</v>
      </c>
      <c r="K132" t="str">
        <f t="shared" si="7"/>
        <v>11 to 20</v>
      </c>
      <c r="L132" s="1">
        <v>75</v>
      </c>
      <c r="M132" t="s">
        <v>2066</v>
      </c>
      <c r="O132">
        <v>2.2999999999999998</v>
      </c>
      <c r="P132" t="b">
        <v>0</v>
      </c>
      <c r="Q132" t="s">
        <v>2077</v>
      </c>
      <c r="R132">
        <v>0.61</v>
      </c>
      <c r="S132" s="2">
        <v>0.61</v>
      </c>
      <c r="T132" s="2" t="str">
        <f t="shared" si="8"/>
        <v>61% to 70 %</v>
      </c>
    </row>
    <row r="133" spans="1:21" x14ac:dyDescent="0.3">
      <c r="A133" t="s">
        <v>330</v>
      </c>
      <c r="B133" t="s">
        <v>331</v>
      </c>
      <c r="C133" t="s">
        <v>111</v>
      </c>
      <c r="D133" t="s">
        <v>80</v>
      </c>
      <c r="E133">
        <v>52</v>
      </c>
      <c r="F133" t="str">
        <f t="shared" si="6"/>
        <v>51 to 60</v>
      </c>
      <c r="G133" t="s">
        <v>91</v>
      </c>
      <c r="H133" t="s">
        <v>59</v>
      </c>
      <c r="I133" t="s">
        <v>18</v>
      </c>
      <c r="J133">
        <v>29</v>
      </c>
      <c r="K133" t="str">
        <f t="shared" si="7"/>
        <v>21 to 30</v>
      </c>
      <c r="L133" s="1">
        <v>30</v>
      </c>
      <c r="M133" t="s">
        <v>2069</v>
      </c>
      <c r="O133">
        <v>3.8</v>
      </c>
      <c r="P133">
        <v>0</v>
      </c>
      <c r="Q133" t="s">
        <v>2077</v>
      </c>
      <c r="R133">
        <v>0.68</v>
      </c>
      <c r="S133" s="2">
        <v>0.68</v>
      </c>
      <c r="T133" s="2" t="str">
        <f t="shared" si="8"/>
        <v>61% to 70 %</v>
      </c>
    </row>
    <row r="134" spans="1:21" x14ac:dyDescent="0.3">
      <c r="A134" t="s">
        <v>332</v>
      </c>
      <c r="B134" t="s">
        <v>333</v>
      </c>
      <c r="C134" t="s">
        <v>76</v>
      </c>
      <c r="D134" t="s">
        <v>80</v>
      </c>
      <c r="E134">
        <v>24</v>
      </c>
      <c r="F134" t="str">
        <f t="shared" si="6"/>
        <v>21 to 30</v>
      </c>
      <c r="G134" t="s">
        <v>158</v>
      </c>
      <c r="H134" t="s">
        <v>159</v>
      </c>
      <c r="I134" t="s">
        <v>18</v>
      </c>
      <c r="J134">
        <v>5</v>
      </c>
      <c r="K134" t="str">
        <f t="shared" si="7"/>
        <v>0 to 10</v>
      </c>
      <c r="L134" s="1">
        <v>40</v>
      </c>
      <c r="M134" t="s">
        <v>2067</v>
      </c>
      <c r="O134">
        <v>1.8</v>
      </c>
      <c r="P134">
        <v>1</v>
      </c>
      <c r="Q134" t="s">
        <v>2076</v>
      </c>
      <c r="R134">
        <v>0.86</v>
      </c>
      <c r="S134" s="2">
        <v>0.86</v>
      </c>
      <c r="T134" s="2" t="str">
        <f t="shared" si="8"/>
        <v>81% to 90%</v>
      </c>
    </row>
    <row r="135" spans="1:21" x14ac:dyDescent="0.3">
      <c r="A135" t="s">
        <v>334</v>
      </c>
      <c r="B135" t="s">
        <v>335</v>
      </c>
      <c r="C135" t="s">
        <v>76</v>
      </c>
      <c r="D135" t="s">
        <v>80</v>
      </c>
      <c r="E135">
        <v>33</v>
      </c>
      <c r="F135" t="str">
        <f t="shared" si="6"/>
        <v>31 to 40</v>
      </c>
      <c r="G135" t="s">
        <v>46</v>
      </c>
      <c r="H135" t="s">
        <v>17</v>
      </c>
      <c r="I135" t="s">
        <v>63</v>
      </c>
      <c r="J135">
        <v>12</v>
      </c>
      <c r="K135" t="str">
        <f t="shared" si="7"/>
        <v>11 to 20</v>
      </c>
      <c r="L135" s="1">
        <v>100</v>
      </c>
      <c r="M135" t="s">
        <v>2070</v>
      </c>
      <c r="O135">
        <v>3.6</v>
      </c>
      <c r="P135">
        <v>0</v>
      </c>
      <c r="Q135" t="s">
        <v>2077</v>
      </c>
      <c r="R135">
        <v>0.63</v>
      </c>
      <c r="S135" s="2">
        <v>0.63</v>
      </c>
      <c r="T135" s="2" t="str">
        <f t="shared" si="8"/>
        <v>61% to 70 %</v>
      </c>
    </row>
    <row r="136" spans="1:21" x14ac:dyDescent="0.3">
      <c r="A136" t="s">
        <v>336</v>
      </c>
      <c r="B136" t="s">
        <v>337</v>
      </c>
      <c r="C136" t="s">
        <v>76</v>
      </c>
      <c r="D136" t="s">
        <v>80</v>
      </c>
      <c r="E136">
        <v>36</v>
      </c>
      <c r="F136" t="str">
        <f t="shared" si="6"/>
        <v>31 to 40</v>
      </c>
      <c r="G136" t="s">
        <v>254</v>
      </c>
      <c r="H136" t="s">
        <v>255</v>
      </c>
      <c r="I136" t="s">
        <v>79</v>
      </c>
      <c r="J136">
        <v>14</v>
      </c>
      <c r="K136" t="str">
        <f t="shared" si="7"/>
        <v>11 to 20</v>
      </c>
      <c r="L136" s="1">
        <v>30</v>
      </c>
      <c r="M136" t="s">
        <v>2069</v>
      </c>
      <c r="O136">
        <v>1.9</v>
      </c>
      <c r="P136">
        <v>0</v>
      </c>
      <c r="Q136" t="s">
        <v>2077</v>
      </c>
      <c r="R136">
        <v>0.62</v>
      </c>
      <c r="S136" s="2">
        <v>0.62</v>
      </c>
      <c r="T136" s="2" t="str">
        <f t="shared" si="8"/>
        <v>61% to 70 %</v>
      </c>
    </row>
    <row r="137" spans="1:21" x14ac:dyDescent="0.3">
      <c r="A137" t="s">
        <v>338</v>
      </c>
      <c r="B137" t="s">
        <v>339</v>
      </c>
      <c r="C137" t="s">
        <v>111</v>
      </c>
      <c r="D137" t="s">
        <v>80</v>
      </c>
      <c r="E137">
        <v>56</v>
      </c>
      <c r="F137" t="str">
        <f t="shared" si="6"/>
        <v>51 to 60</v>
      </c>
      <c r="G137" t="s">
        <v>87</v>
      </c>
      <c r="H137" t="s">
        <v>88</v>
      </c>
      <c r="I137" t="s">
        <v>79</v>
      </c>
      <c r="J137">
        <v>13</v>
      </c>
      <c r="K137" t="str">
        <f t="shared" si="7"/>
        <v>11 to 20</v>
      </c>
      <c r="L137" s="1">
        <v>30</v>
      </c>
      <c r="M137" t="s">
        <v>2069</v>
      </c>
      <c r="O137">
        <v>0</v>
      </c>
      <c r="R137">
        <v>77</v>
      </c>
      <c r="S137" s="2">
        <v>0.77</v>
      </c>
      <c r="T137" s="2" t="str">
        <f t="shared" si="8"/>
        <v>71% to 80%</v>
      </c>
      <c r="U137">
        <v>0.77</v>
      </c>
    </row>
    <row r="138" spans="1:21" x14ac:dyDescent="0.3">
      <c r="A138" t="s">
        <v>340</v>
      </c>
      <c r="B138" t="s">
        <v>341</v>
      </c>
      <c r="C138" t="s">
        <v>76</v>
      </c>
      <c r="D138" t="s">
        <v>80</v>
      </c>
      <c r="E138">
        <v>33</v>
      </c>
      <c r="F138" t="str">
        <f t="shared" si="6"/>
        <v>31 to 40</v>
      </c>
      <c r="G138" t="s">
        <v>139</v>
      </c>
      <c r="H138" t="s">
        <v>59</v>
      </c>
      <c r="I138" t="s">
        <v>79</v>
      </c>
      <c r="J138">
        <v>11</v>
      </c>
      <c r="K138" t="str">
        <f t="shared" si="7"/>
        <v>11 to 20</v>
      </c>
      <c r="L138" s="1">
        <v>75</v>
      </c>
      <c r="M138" t="s">
        <v>2066</v>
      </c>
      <c r="O138">
        <v>2.1</v>
      </c>
      <c r="P138">
        <v>0</v>
      </c>
      <c r="Q138" t="s">
        <v>2077</v>
      </c>
      <c r="R138">
        <v>0.96</v>
      </c>
      <c r="S138" s="2">
        <v>0.96</v>
      </c>
      <c r="T138" s="2" t="str">
        <f t="shared" si="8"/>
        <v>91% to 100%</v>
      </c>
    </row>
    <row r="139" spans="1:21" x14ac:dyDescent="0.3">
      <c r="A139" t="s">
        <v>342</v>
      </c>
      <c r="B139" t="s">
        <v>343</v>
      </c>
      <c r="C139" t="s">
        <v>36</v>
      </c>
      <c r="D139" t="s">
        <v>20</v>
      </c>
      <c r="E139">
        <v>48</v>
      </c>
      <c r="F139" t="str">
        <f t="shared" si="6"/>
        <v>41 to 50</v>
      </c>
      <c r="G139" t="s">
        <v>101</v>
      </c>
      <c r="H139" t="s">
        <v>59</v>
      </c>
      <c r="I139" t="s">
        <v>79</v>
      </c>
      <c r="J139">
        <v>24</v>
      </c>
      <c r="K139" t="str">
        <f t="shared" si="7"/>
        <v>21 to 30</v>
      </c>
      <c r="L139" s="1">
        <v>40</v>
      </c>
      <c r="M139" t="s">
        <v>2065</v>
      </c>
      <c r="N139" t="s">
        <v>2067</v>
      </c>
      <c r="O139">
        <v>2.2000000000000002</v>
      </c>
      <c r="P139">
        <v>0</v>
      </c>
      <c r="Q139" t="s">
        <v>2077</v>
      </c>
      <c r="R139">
        <v>0.67</v>
      </c>
      <c r="S139" s="2">
        <v>0.67</v>
      </c>
      <c r="T139" s="2" t="str">
        <f t="shared" si="8"/>
        <v>61% to 70 %</v>
      </c>
    </row>
    <row r="140" spans="1:21" x14ac:dyDescent="0.3">
      <c r="A140" t="s">
        <v>344</v>
      </c>
      <c r="B140" t="s">
        <v>345</v>
      </c>
      <c r="C140" t="s">
        <v>15</v>
      </c>
      <c r="D140" t="s">
        <v>20</v>
      </c>
      <c r="E140">
        <v>57</v>
      </c>
      <c r="F140" t="str">
        <f t="shared" si="6"/>
        <v>51 to 60</v>
      </c>
      <c r="G140" t="s">
        <v>155</v>
      </c>
      <c r="H140" t="s">
        <v>17</v>
      </c>
      <c r="I140" t="s">
        <v>52</v>
      </c>
      <c r="J140">
        <v>21</v>
      </c>
      <c r="K140" t="str">
        <f t="shared" si="7"/>
        <v>21 to 30</v>
      </c>
      <c r="L140" s="1">
        <v>75</v>
      </c>
      <c r="M140" t="s">
        <v>2066</v>
      </c>
      <c r="O140">
        <v>2</v>
      </c>
      <c r="P140" t="s">
        <v>53</v>
      </c>
      <c r="Q140" t="s">
        <v>2077</v>
      </c>
      <c r="R140">
        <v>0.96</v>
      </c>
      <c r="S140" s="2">
        <v>0.96</v>
      </c>
      <c r="T140" s="2" t="str">
        <f t="shared" si="8"/>
        <v>91% to 100%</v>
      </c>
    </row>
    <row r="141" spans="1:21" x14ac:dyDescent="0.3">
      <c r="A141" t="s">
        <v>346</v>
      </c>
      <c r="B141" t="s">
        <v>347</v>
      </c>
      <c r="C141" t="s">
        <v>15</v>
      </c>
      <c r="D141" t="s">
        <v>20</v>
      </c>
      <c r="E141">
        <v>50</v>
      </c>
      <c r="F141" t="str">
        <f t="shared" si="6"/>
        <v>41 to 50</v>
      </c>
      <c r="G141" t="s">
        <v>16</v>
      </c>
      <c r="H141" t="s">
        <v>17</v>
      </c>
      <c r="I141" t="s">
        <v>63</v>
      </c>
      <c r="J141">
        <v>2</v>
      </c>
      <c r="K141" t="str">
        <f t="shared" si="7"/>
        <v>0 to 10</v>
      </c>
      <c r="L141" s="1">
        <v>50</v>
      </c>
      <c r="M141" t="s">
        <v>2071</v>
      </c>
      <c r="O141">
        <v>1.6</v>
      </c>
      <c r="P141" t="s">
        <v>67</v>
      </c>
      <c r="Q141" t="s">
        <v>2077</v>
      </c>
      <c r="R141">
        <v>0.89</v>
      </c>
      <c r="S141" s="2">
        <v>0.89</v>
      </c>
      <c r="T141" s="2" t="str">
        <f t="shared" si="8"/>
        <v>81% to 90%</v>
      </c>
    </row>
    <row r="142" spans="1:21" x14ac:dyDescent="0.3">
      <c r="A142" t="s">
        <v>348</v>
      </c>
      <c r="B142" t="s">
        <v>349</v>
      </c>
      <c r="C142" t="s">
        <v>76</v>
      </c>
      <c r="D142" t="s">
        <v>80</v>
      </c>
      <c r="E142">
        <v>47</v>
      </c>
      <c r="F142" t="str">
        <f t="shared" si="6"/>
        <v>41 to 50</v>
      </c>
      <c r="G142" t="s">
        <v>254</v>
      </c>
      <c r="H142" t="s">
        <v>255</v>
      </c>
      <c r="I142" t="s">
        <v>66</v>
      </c>
      <c r="J142">
        <v>5</v>
      </c>
      <c r="K142" t="str">
        <f t="shared" si="7"/>
        <v>0 to 10</v>
      </c>
      <c r="L142" s="1">
        <v>40</v>
      </c>
      <c r="M142" t="s">
        <v>2065</v>
      </c>
      <c r="N142" t="s">
        <v>2067</v>
      </c>
      <c r="O142">
        <v>3.7</v>
      </c>
      <c r="P142" t="b">
        <v>0</v>
      </c>
      <c r="Q142" t="s">
        <v>2077</v>
      </c>
      <c r="R142">
        <v>93</v>
      </c>
      <c r="S142" s="2">
        <v>0.93</v>
      </c>
      <c r="T142" s="2" t="str">
        <f t="shared" si="8"/>
        <v>91% to 100%</v>
      </c>
      <c r="U142">
        <v>0.93</v>
      </c>
    </row>
    <row r="143" spans="1:21" x14ac:dyDescent="0.3">
      <c r="A143" t="s">
        <v>350</v>
      </c>
      <c r="B143" t="s">
        <v>351</v>
      </c>
      <c r="C143" t="s">
        <v>76</v>
      </c>
      <c r="D143" t="s">
        <v>80</v>
      </c>
      <c r="E143">
        <v>45</v>
      </c>
      <c r="F143" t="str">
        <f t="shared" si="6"/>
        <v>41 to 50</v>
      </c>
      <c r="G143" t="s">
        <v>16</v>
      </c>
      <c r="H143" t="s">
        <v>17</v>
      </c>
      <c r="I143" t="s">
        <v>47</v>
      </c>
      <c r="J143">
        <v>1</v>
      </c>
      <c r="K143" t="str">
        <f t="shared" si="7"/>
        <v>0 to 10</v>
      </c>
      <c r="L143" s="1">
        <v>100</v>
      </c>
      <c r="M143" t="s">
        <v>2070</v>
      </c>
      <c r="O143">
        <v>1.5</v>
      </c>
      <c r="P143">
        <v>1</v>
      </c>
      <c r="Q143" t="s">
        <v>2076</v>
      </c>
      <c r="R143">
        <v>1</v>
      </c>
      <c r="S143" s="2">
        <v>1</v>
      </c>
      <c r="T143" s="2" t="str">
        <f t="shared" si="8"/>
        <v>91% to 100%</v>
      </c>
    </row>
    <row r="144" spans="1:21" x14ac:dyDescent="0.3">
      <c r="A144" t="s">
        <v>352</v>
      </c>
      <c r="B144" t="s">
        <v>353</v>
      </c>
      <c r="C144" t="s">
        <v>15</v>
      </c>
      <c r="D144" t="s">
        <v>20</v>
      </c>
      <c r="E144">
        <v>59</v>
      </c>
      <c r="F144" t="str">
        <f t="shared" si="6"/>
        <v>51 to 60</v>
      </c>
      <c r="G144" t="s">
        <v>155</v>
      </c>
      <c r="H144" t="s">
        <v>17</v>
      </c>
      <c r="I144" t="s">
        <v>108</v>
      </c>
      <c r="J144">
        <v>0</v>
      </c>
      <c r="K144" t="str">
        <f t="shared" si="7"/>
        <v>0 to 10</v>
      </c>
      <c r="L144" s="1">
        <v>100</v>
      </c>
      <c r="M144" t="s">
        <v>2070</v>
      </c>
      <c r="O144">
        <v>0</v>
      </c>
      <c r="P144" t="s">
        <v>96</v>
      </c>
      <c r="Q144" t="s">
        <v>2076</v>
      </c>
      <c r="R144">
        <v>87</v>
      </c>
      <c r="S144" s="2">
        <v>0.87</v>
      </c>
      <c r="T144" s="2" t="str">
        <f t="shared" si="8"/>
        <v>81% to 90%</v>
      </c>
      <c r="U144">
        <v>0.87</v>
      </c>
    </row>
    <row r="145" spans="1:21" x14ac:dyDescent="0.3">
      <c r="A145" t="s">
        <v>354</v>
      </c>
      <c r="B145" t="s">
        <v>355</v>
      </c>
      <c r="C145" t="s">
        <v>76</v>
      </c>
      <c r="D145" t="s">
        <v>80</v>
      </c>
      <c r="E145">
        <v>20</v>
      </c>
      <c r="F145" t="str">
        <f t="shared" si="6"/>
        <v>11 to 20</v>
      </c>
      <c r="G145" t="s">
        <v>254</v>
      </c>
      <c r="H145" t="s">
        <v>255</v>
      </c>
      <c r="I145" t="s">
        <v>66</v>
      </c>
      <c r="J145">
        <v>1</v>
      </c>
      <c r="K145" t="str">
        <f t="shared" si="7"/>
        <v>0 to 10</v>
      </c>
      <c r="L145" s="1">
        <v>40</v>
      </c>
      <c r="M145" t="s">
        <v>2068</v>
      </c>
      <c r="N145" t="s">
        <v>2067</v>
      </c>
      <c r="O145">
        <v>2.2999999999999998</v>
      </c>
      <c r="P145">
        <v>1</v>
      </c>
      <c r="Q145" t="s">
        <v>2076</v>
      </c>
      <c r="R145">
        <v>0.72</v>
      </c>
      <c r="S145" s="2">
        <v>0.72</v>
      </c>
      <c r="T145" s="2" t="str">
        <f t="shared" si="8"/>
        <v>71% to 80%</v>
      </c>
    </row>
    <row r="146" spans="1:21" x14ac:dyDescent="0.3">
      <c r="A146" t="s">
        <v>356</v>
      </c>
      <c r="B146" t="s">
        <v>357</v>
      </c>
      <c r="C146" t="s">
        <v>111</v>
      </c>
      <c r="D146" t="s">
        <v>80</v>
      </c>
      <c r="E146">
        <v>54</v>
      </c>
      <c r="F146" t="str">
        <f t="shared" si="6"/>
        <v>51 to 60</v>
      </c>
      <c r="G146" t="s">
        <v>139</v>
      </c>
      <c r="H146" t="s">
        <v>59</v>
      </c>
      <c r="I146" t="s">
        <v>47</v>
      </c>
      <c r="J146">
        <v>9</v>
      </c>
      <c r="K146" t="str">
        <f t="shared" si="7"/>
        <v>0 to 10</v>
      </c>
      <c r="L146" s="1">
        <v>100</v>
      </c>
      <c r="M146" t="s">
        <v>2070</v>
      </c>
      <c r="P146" t="s">
        <v>53</v>
      </c>
      <c r="Q146" t="s">
        <v>2077</v>
      </c>
      <c r="R146">
        <v>0.72</v>
      </c>
      <c r="S146" s="2">
        <v>0.72</v>
      </c>
      <c r="T146" s="2" t="str">
        <f t="shared" si="8"/>
        <v>71% to 80%</v>
      </c>
    </row>
    <row r="147" spans="1:21" x14ac:dyDescent="0.3">
      <c r="A147" t="s">
        <v>358</v>
      </c>
      <c r="B147" t="s">
        <v>359</v>
      </c>
      <c r="C147" t="s">
        <v>111</v>
      </c>
      <c r="D147" t="s">
        <v>80</v>
      </c>
      <c r="E147">
        <v>42</v>
      </c>
      <c r="F147" t="str">
        <f t="shared" si="6"/>
        <v>41 to 50</v>
      </c>
      <c r="G147" t="s">
        <v>104</v>
      </c>
      <c r="H147" t="s">
        <v>105</v>
      </c>
      <c r="I147" t="s">
        <v>79</v>
      </c>
      <c r="J147">
        <v>7</v>
      </c>
      <c r="K147" t="str">
        <f t="shared" si="7"/>
        <v>0 to 10</v>
      </c>
      <c r="L147" s="1">
        <v>40</v>
      </c>
      <c r="M147" t="s">
        <v>2068</v>
      </c>
      <c r="N147" t="s">
        <v>2067</v>
      </c>
      <c r="O147">
        <v>0</v>
      </c>
      <c r="P147">
        <v>1</v>
      </c>
      <c r="Q147" t="s">
        <v>2076</v>
      </c>
      <c r="T147" s="2" t="str">
        <f t="shared" si="8"/>
        <v/>
      </c>
    </row>
    <row r="148" spans="1:21" x14ac:dyDescent="0.3">
      <c r="A148" t="s">
        <v>360</v>
      </c>
      <c r="B148" t="s">
        <v>361</v>
      </c>
      <c r="C148" t="s">
        <v>76</v>
      </c>
      <c r="D148" t="s">
        <v>80</v>
      </c>
      <c r="E148">
        <v>59</v>
      </c>
      <c r="F148" t="str">
        <f t="shared" si="6"/>
        <v>51 to 60</v>
      </c>
      <c r="G148" t="s">
        <v>42</v>
      </c>
      <c r="H148" t="s">
        <v>43</v>
      </c>
      <c r="I148" t="s">
        <v>47</v>
      </c>
      <c r="J148">
        <v>22</v>
      </c>
      <c r="K148" t="str">
        <f t="shared" si="7"/>
        <v>21 to 30</v>
      </c>
      <c r="L148" s="1">
        <v>100</v>
      </c>
      <c r="M148" t="s">
        <v>2068</v>
      </c>
      <c r="N148" t="s">
        <v>2070</v>
      </c>
      <c r="O148">
        <v>1.1000000000000001</v>
      </c>
      <c r="P148" t="s">
        <v>67</v>
      </c>
      <c r="Q148" t="s">
        <v>2077</v>
      </c>
      <c r="R148">
        <v>0.85</v>
      </c>
      <c r="S148" s="2">
        <v>0.85</v>
      </c>
      <c r="T148" s="2" t="str">
        <f t="shared" si="8"/>
        <v>81% to 90%</v>
      </c>
    </row>
    <row r="149" spans="1:21" x14ac:dyDescent="0.3">
      <c r="A149" t="s">
        <v>362</v>
      </c>
      <c r="B149" t="s">
        <v>363</v>
      </c>
      <c r="C149" t="s">
        <v>76</v>
      </c>
      <c r="D149" t="s">
        <v>80</v>
      </c>
      <c r="E149">
        <v>44</v>
      </c>
      <c r="F149" t="str">
        <f t="shared" si="6"/>
        <v>41 to 50</v>
      </c>
      <c r="G149" t="s">
        <v>91</v>
      </c>
      <c r="H149" t="s">
        <v>59</v>
      </c>
      <c r="I149" t="s">
        <v>39</v>
      </c>
      <c r="J149">
        <v>21</v>
      </c>
      <c r="K149" t="str">
        <f t="shared" si="7"/>
        <v>21 to 30</v>
      </c>
      <c r="L149" s="1">
        <v>100</v>
      </c>
      <c r="M149" t="s">
        <v>2070</v>
      </c>
      <c r="O149">
        <v>2.9</v>
      </c>
      <c r="P149">
        <v>0</v>
      </c>
      <c r="Q149" t="s">
        <v>2077</v>
      </c>
      <c r="R149">
        <v>0.83</v>
      </c>
      <c r="S149" s="2">
        <v>0.83</v>
      </c>
      <c r="T149" s="2" t="str">
        <f t="shared" si="8"/>
        <v>81% to 90%</v>
      </c>
    </row>
    <row r="150" spans="1:21" x14ac:dyDescent="0.3">
      <c r="A150" t="s">
        <v>364</v>
      </c>
      <c r="B150" t="s">
        <v>365</v>
      </c>
      <c r="C150" t="s">
        <v>15</v>
      </c>
      <c r="D150" t="s">
        <v>20</v>
      </c>
      <c r="E150">
        <v>22</v>
      </c>
      <c r="F150" t="str">
        <f t="shared" si="6"/>
        <v>21 to 30</v>
      </c>
      <c r="G150" t="s">
        <v>87</v>
      </c>
      <c r="H150" t="s">
        <v>88</v>
      </c>
      <c r="I150" t="s">
        <v>63</v>
      </c>
      <c r="J150">
        <v>2</v>
      </c>
      <c r="K150" t="str">
        <f t="shared" si="7"/>
        <v>0 to 10</v>
      </c>
      <c r="L150" s="1">
        <v>75</v>
      </c>
      <c r="M150" t="s">
        <v>2065</v>
      </c>
      <c r="N150" t="s">
        <v>2066</v>
      </c>
      <c r="O150">
        <v>1.7</v>
      </c>
      <c r="P150" t="s">
        <v>67</v>
      </c>
      <c r="Q150" t="s">
        <v>2077</v>
      </c>
      <c r="R150">
        <v>0.91</v>
      </c>
      <c r="S150" s="2">
        <v>0.91</v>
      </c>
      <c r="T150" s="2" t="str">
        <f t="shared" si="8"/>
        <v>91% to 100%</v>
      </c>
    </row>
    <row r="151" spans="1:21" x14ac:dyDescent="0.3">
      <c r="A151" t="s">
        <v>366</v>
      </c>
      <c r="B151" t="s">
        <v>367</v>
      </c>
      <c r="C151" t="s">
        <v>36</v>
      </c>
      <c r="D151" t="s">
        <v>20</v>
      </c>
      <c r="E151">
        <v>55</v>
      </c>
      <c r="F151" t="str">
        <f t="shared" si="6"/>
        <v>51 to 60</v>
      </c>
      <c r="G151" t="s">
        <v>37</v>
      </c>
      <c r="H151" t="s">
        <v>38</v>
      </c>
      <c r="I151" t="s">
        <v>60</v>
      </c>
      <c r="K151" t="str">
        <f t="shared" si="7"/>
        <v/>
      </c>
      <c r="L151" s="1">
        <v>100</v>
      </c>
      <c r="M151" t="s">
        <v>2068</v>
      </c>
      <c r="N151" t="s">
        <v>2070</v>
      </c>
      <c r="O151">
        <v>1.2</v>
      </c>
      <c r="P151">
        <v>1</v>
      </c>
      <c r="Q151" t="s">
        <v>2076</v>
      </c>
      <c r="R151">
        <v>0.69</v>
      </c>
      <c r="S151" s="2">
        <v>0.69</v>
      </c>
      <c r="T151" s="2" t="str">
        <f t="shared" si="8"/>
        <v>61% to 70 %</v>
      </c>
    </row>
    <row r="152" spans="1:21" x14ac:dyDescent="0.3">
      <c r="A152" t="s">
        <v>368</v>
      </c>
      <c r="B152" t="s">
        <v>369</v>
      </c>
      <c r="C152" t="s">
        <v>111</v>
      </c>
      <c r="D152" t="s">
        <v>80</v>
      </c>
      <c r="E152">
        <v>45</v>
      </c>
      <c r="F152" t="str">
        <f t="shared" si="6"/>
        <v>41 to 50</v>
      </c>
      <c r="G152" t="s">
        <v>155</v>
      </c>
      <c r="H152" t="s">
        <v>17</v>
      </c>
      <c r="I152" t="s">
        <v>33</v>
      </c>
      <c r="J152">
        <v>6</v>
      </c>
      <c r="K152" t="str">
        <f t="shared" si="7"/>
        <v>0 to 10</v>
      </c>
      <c r="L152" s="1">
        <v>40</v>
      </c>
      <c r="M152" t="s">
        <v>2067</v>
      </c>
      <c r="O152">
        <v>2</v>
      </c>
      <c r="P152">
        <v>1</v>
      </c>
      <c r="Q152" t="s">
        <v>2076</v>
      </c>
      <c r="R152">
        <v>0.78</v>
      </c>
      <c r="S152" s="2">
        <v>0.78</v>
      </c>
      <c r="T152" s="2" t="str">
        <f t="shared" si="8"/>
        <v>71% to 80%</v>
      </c>
    </row>
    <row r="153" spans="1:21" x14ac:dyDescent="0.3">
      <c r="A153" t="s">
        <v>370</v>
      </c>
      <c r="B153" t="s">
        <v>371</v>
      </c>
      <c r="C153" t="s">
        <v>111</v>
      </c>
      <c r="D153" t="s">
        <v>80</v>
      </c>
      <c r="E153">
        <v>59</v>
      </c>
      <c r="F153" t="str">
        <f t="shared" si="6"/>
        <v>51 to 60</v>
      </c>
      <c r="G153" t="s">
        <v>46</v>
      </c>
      <c r="H153" t="s">
        <v>17</v>
      </c>
      <c r="I153" t="s">
        <v>108</v>
      </c>
      <c r="K153" t="str">
        <f t="shared" si="7"/>
        <v/>
      </c>
      <c r="L153" s="1">
        <v>20</v>
      </c>
      <c r="M153" t="s">
        <v>2072</v>
      </c>
      <c r="O153">
        <v>4.0999999999999996</v>
      </c>
      <c r="P153">
        <v>0</v>
      </c>
      <c r="Q153" t="s">
        <v>2077</v>
      </c>
      <c r="R153">
        <v>75</v>
      </c>
      <c r="S153" s="2">
        <v>0.75</v>
      </c>
      <c r="T153" s="2" t="str">
        <f t="shared" si="8"/>
        <v>71% to 80%</v>
      </c>
      <c r="U153">
        <v>0.75</v>
      </c>
    </row>
    <row r="154" spans="1:21" x14ac:dyDescent="0.3">
      <c r="A154" t="s">
        <v>372</v>
      </c>
      <c r="B154" t="s">
        <v>373</v>
      </c>
      <c r="C154" t="s">
        <v>111</v>
      </c>
      <c r="D154" t="s">
        <v>80</v>
      </c>
      <c r="E154">
        <v>21</v>
      </c>
      <c r="F154" t="str">
        <f t="shared" si="6"/>
        <v>21 to 30</v>
      </c>
      <c r="G154" t="s">
        <v>27</v>
      </c>
      <c r="H154" t="s">
        <v>28</v>
      </c>
      <c r="I154" t="s">
        <v>63</v>
      </c>
      <c r="J154">
        <v>1</v>
      </c>
      <c r="K154" t="str">
        <f t="shared" si="7"/>
        <v>0 to 10</v>
      </c>
      <c r="L154" s="1">
        <v>100</v>
      </c>
      <c r="M154" t="s">
        <v>2065</v>
      </c>
      <c r="N154" t="s">
        <v>2070</v>
      </c>
      <c r="O154">
        <v>0</v>
      </c>
      <c r="P154" t="s">
        <v>19</v>
      </c>
      <c r="Q154" t="s">
        <v>2076</v>
      </c>
      <c r="R154">
        <v>0.95</v>
      </c>
      <c r="S154" s="2">
        <v>0.95</v>
      </c>
      <c r="T154" s="2" t="str">
        <f t="shared" si="8"/>
        <v>91% to 100%</v>
      </c>
    </row>
    <row r="155" spans="1:21" x14ac:dyDescent="0.3">
      <c r="A155" t="s">
        <v>374</v>
      </c>
      <c r="B155" t="s">
        <v>375</v>
      </c>
      <c r="C155" t="s">
        <v>76</v>
      </c>
      <c r="D155" t="s">
        <v>80</v>
      </c>
      <c r="E155">
        <v>31</v>
      </c>
      <c r="F155" t="str">
        <f t="shared" si="6"/>
        <v>31 to 40</v>
      </c>
      <c r="G155" t="s">
        <v>188</v>
      </c>
      <c r="H155" t="s">
        <v>189</v>
      </c>
      <c r="I155" t="s">
        <v>63</v>
      </c>
      <c r="J155">
        <v>9</v>
      </c>
      <c r="K155" t="str">
        <f t="shared" si="7"/>
        <v>0 to 10</v>
      </c>
      <c r="O155">
        <v>0</v>
      </c>
      <c r="P155" t="b">
        <v>0</v>
      </c>
      <c r="Q155" t="s">
        <v>2077</v>
      </c>
      <c r="R155">
        <v>0.91</v>
      </c>
      <c r="S155" s="2">
        <v>0.91</v>
      </c>
      <c r="T155" s="2" t="str">
        <f t="shared" si="8"/>
        <v>91% to 100%</v>
      </c>
    </row>
    <row r="156" spans="1:21" x14ac:dyDescent="0.3">
      <c r="A156" t="s">
        <v>376</v>
      </c>
      <c r="B156" t="s">
        <v>377</v>
      </c>
      <c r="C156" t="s">
        <v>76</v>
      </c>
      <c r="D156" t="s">
        <v>80</v>
      </c>
      <c r="E156">
        <v>27</v>
      </c>
      <c r="F156" t="str">
        <f t="shared" si="6"/>
        <v>21 to 30</v>
      </c>
      <c r="G156" t="s">
        <v>77</v>
      </c>
      <c r="H156" t="s">
        <v>78</v>
      </c>
      <c r="I156" t="s">
        <v>39</v>
      </c>
      <c r="J156">
        <v>7</v>
      </c>
      <c r="K156" t="str">
        <f t="shared" si="7"/>
        <v>0 to 10</v>
      </c>
      <c r="L156" s="1">
        <v>30</v>
      </c>
      <c r="M156" t="s">
        <v>2069</v>
      </c>
      <c r="O156">
        <v>2.4</v>
      </c>
      <c r="P156" t="s">
        <v>19</v>
      </c>
      <c r="Q156" t="s">
        <v>2076</v>
      </c>
      <c r="R156">
        <v>0.66</v>
      </c>
      <c r="S156" s="2">
        <v>0.66</v>
      </c>
      <c r="T156" s="2" t="str">
        <f t="shared" si="8"/>
        <v>61% to 70 %</v>
      </c>
    </row>
    <row r="157" spans="1:21" x14ac:dyDescent="0.3">
      <c r="A157" t="s">
        <v>378</v>
      </c>
      <c r="B157" t="s">
        <v>379</v>
      </c>
      <c r="C157" t="s">
        <v>36</v>
      </c>
      <c r="D157" t="s">
        <v>20</v>
      </c>
      <c r="E157">
        <v>51</v>
      </c>
      <c r="F157" t="str">
        <f t="shared" si="6"/>
        <v>51 to 60</v>
      </c>
      <c r="G157" t="s">
        <v>118</v>
      </c>
      <c r="H157" t="s">
        <v>119</v>
      </c>
      <c r="I157" t="s">
        <v>60</v>
      </c>
      <c r="J157">
        <v>21</v>
      </c>
      <c r="K157" t="str">
        <f t="shared" si="7"/>
        <v>21 to 30</v>
      </c>
      <c r="L157" s="1">
        <v>30</v>
      </c>
      <c r="M157" t="s">
        <v>2068</v>
      </c>
      <c r="N157" t="s">
        <v>2069</v>
      </c>
      <c r="O157">
        <v>4.7</v>
      </c>
      <c r="P157" t="s">
        <v>53</v>
      </c>
      <c r="Q157" t="s">
        <v>2077</v>
      </c>
      <c r="T157" s="2" t="str">
        <f t="shared" si="8"/>
        <v/>
      </c>
    </row>
    <row r="158" spans="1:21" x14ac:dyDescent="0.3">
      <c r="A158" t="s">
        <v>380</v>
      </c>
      <c r="B158" t="s">
        <v>381</v>
      </c>
      <c r="C158" t="s">
        <v>36</v>
      </c>
      <c r="D158" t="s">
        <v>20</v>
      </c>
      <c r="E158">
        <v>43</v>
      </c>
      <c r="F158" t="str">
        <f t="shared" si="6"/>
        <v>41 to 50</v>
      </c>
      <c r="G158" t="s">
        <v>46</v>
      </c>
      <c r="H158" t="s">
        <v>17</v>
      </c>
      <c r="I158" t="s">
        <v>39</v>
      </c>
      <c r="J158">
        <v>2</v>
      </c>
      <c r="K158" t="str">
        <f t="shared" si="7"/>
        <v>0 to 10</v>
      </c>
      <c r="L158" s="1">
        <v>100</v>
      </c>
      <c r="M158" t="s">
        <v>2070</v>
      </c>
      <c r="O158">
        <v>1.1000000000000001</v>
      </c>
      <c r="P158">
        <v>1</v>
      </c>
      <c r="Q158" t="s">
        <v>2076</v>
      </c>
      <c r="R158">
        <v>0.63</v>
      </c>
      <c r="S158" s="2">
        <v>0.63</v>
      </c>
      <c r="T158" s="2" t="str">
        <f t="shared" si="8"/>
        <v>61% to 70 %</v>
      </c>
    </row>
    <row r="159" spans="1:21" x14ac:dyDescent="0.3">
      <c r="A159" t="s">
        <v>382</v>
      </c>
      <c r="B159" t="s">
        <v>383</v>
      </c>
      <c r="C159" t="s">
        <v>36</v>
      </c>
      <c r="D159" t="s">
        <v>20</v>
      </c>
      <c r="E159">
        <v>52</v>
      </c>
      <c r="F159" t="str">
        <f t="shared" si="6"/>
        <v>51 to 60</v>
      </c>
      <c r="G159" t="s">
        <v>83</v>
      </c>
      <c r="H159" t="s">
        <v>84</v>
      </c>
      <c r="I159" t="s">
        <v>63</v>
      </c>
      <c r="J159">
        <v>15</v>
      </c>
      <c r="K159" t="str">
        <f t="shared" si="7"/>
        <v>11 to 20</v>
      </c>
      <c r="L159" s="1">
        <v>50</v>
      </c>
      <c r="M159" t="s">
        <v>2071</v>
      </c>
      <c r="O159">
        <v>0</v>
      </c>
      <c r="P159" t="s">
        <v>19</v>
      </c>
      <c r="Q159" t="s">
        <v>2076</v>
      </c>
      <c r="R159">
        <v>0.81</v>
      </c>
      <c r="S159" s="2">
        <v>0.81</v>
      </c>
      <c r="T159" s="2" t="str">
        <f t="shared" si="8"/>
        <v>81% to 90%</v>
      </c>
    </row>
    <row r="160" spans="1:21" x14ac:dyDescent="0.3">
      <c r="A160" t="s">
        <v>384</v>
      </c>
      <c r="B160" t="s">
        <v>385</v>
      </c>
      <c r="C160" t="s">
        <v>36</v>
      </c>
      <c r="D160" t="s">
        <v>20</v>
      </c>
      <c r="E160">
        <v>32</v>
      </c>
      <c r="F160" t="str">
        <f t="shared" si="6"/>
        <v>31 to 40</v>
      </c>
      <c r="G160" t="s">
        <v>155</v>
      </c>
      <c r="H160" t="s">
        <v>17</v>
      </c>
      <c r="I160" t="s">
        <v>63</v>
      </c>
      <c r="J160">
        <v>9</v>
      </c>
      <c r="K160" t="str">
        <f t="shared" si="7"/>
        <v>0 to 10</v>
      </c>
      <c r="L160" s="1">
        <v>40</v>
      </c>
      <c r="M160" t="s">
        <v>2068</v>
      </c>
      <c r="N160" t="s">
        <v>2067</v>
      </c>
      <c r="O160">
        <v>1.3</v>
      </c>
      <c r="P160" t="b">
        <v>1</v>
      </c>
      <c r="Q160" t="s">
        <v>2076</v>
      </c>
      <c r="R160">
        <v>0.83</v>
      </c>
      <c r="S160" s="2">
        <v>0.83</v>
      </c>
      <c r="T160" s="2" t="str">
        <f t="shared" si="8"/>
        <v>81% to 90%</v>
      </c>
    </row>
    <row r="161" spans="1:21" x14ac:dyDescent="0.3">
      <c r="A161" t="s">
        <v>386</v>
      </c>
      <c r="B161" t="s">
        <v>387</v>
      </c>
      <c r="C161" t="s">
        <v>15</v>
      </c>
      <c r="D161" t="s">
        <v>20</v>
      </c>
      <c r="E161">
        <v>58</v>
      </c>
      <c r="F161" t="str">
        <f t="shared" si="6"/>
        <v>51 to 60</v>
      </c>
      <c r="G161" t="s">
        <v>46</v>
      </c>
      <c r="H161" t="s">
        <v>17</v>
      </c>
      <c r="I161" t="s">
        <v>63</v>
      </c>
      <c r="K161" t="str">
        <f t="shared" si="7"/>
        <v/>
      </c>
      <c r="L161" s="1">
        <v>100</v>
      </c>
      <c r="M161" t="s">
        <v>2070</v>
      </c>
      <c r="O161">
        <v>4.5</v>
      </c>
      <c r="P161" t="s">
        <v>67</v>
      </c>
      <c r="Q161" t="s">
        <v>2077</v>
      </c>
      <c r="R161">
        <v>77</v>
      </c>
      <c r="S161" s="2">
        <v>0.77</v>
      </c>
      <c r="T161" s="2" t="str">
        <f t="shared" si="8"/>
        <v>71% to 80%</v>
      </c>
      <c r="U161">
        <v>0.77</v>
      </c>
    </row>
    <row r="162" spans="1:21" x14ac:dyDescent="0.3">
      <c r="A162" t="s">
        <v>388</v>
      </c>
      <c r="B162" t="s">
        <v>389</v>
      </c>
      <c r="C162" t="s">
        <v>76</v>
      </c>
      <c r="D162" t="s">
        <v>80</v>
      </c>
      <c r="E162">
        <v>58</v>
      </c>
      <c r="F162" t="str">
        <f t="shared" si="6"/>
        <v>51 to 60</v>
      </c>
      <c r="G162" t="s">
        <v>27</v>
      </c>
      <c r="H162" t="s">
        <v>28</v>
      </c>
      <c r="I162" t="s">
        <v>63</v>
      </c>
      <c r="J162">
        <v>37</v>
      </c>
      <c r="K162" t="str">
        <f t="shared" si="7"/>
        <v>31 to 40</v>
      </c>
      <c r="L162" s="1">
        <v>50</v>
      </c>
      <c r="M162" t="s">
        <v>2068</v>
      </c>
      <c r="N162" t="s">
        <v>2071</v>
      </c>
      <c r="O162">
        <v>4.9000000000000004</v>
      </c>
      <c r="P162" t="b">
        <v>0</v>
      </c>
      <c r="Q162" t="s">
        <v>2077</v>
      </c>
      <c r="R162">
        <v>0.69</v>
      </c>
      <c r="S162" s="2">
        <v>0.69</v>
      </c>
      <c r="T162" s="2" t="str">
        <f t="shared" si="8"/>
        <v>61% to 70 %</v>
      </c>
    </row>
    <row r="163" spans="1:21" x14ac:dyDescent="0.3">
      <c r="A163" t="s">
        <v>390</v>
      </c>
      <c r="B163" t="s">
        <v>391</v>
      </c>
      <c r="C163" t="s">
        <v>15</v>
      </c>
      <c r="D163" t="s">
        <v>20</v>
      </c>
      <c r="E163">
        <v>25</v>
      </c>
      <c r="F163" t="str">
        <f t="shared" si="6"/>
        <v>21 to 30</v>
      </c>
      <c r="G163" t="s">
        <v>158</v>
      </c>
      <c r="H163" t="s">
        <v>159</v>
      </c>
      <c r="I163" t="s">
        <v>79</v>
      </c>
      <c r="J163">
        <v>4</v>
      </c>
      <c r="K163" t="str">
        <f t="shared" si="7"/>
        <v>0 to 10</v>
      </c>
      <c r="L163" s="1">
        <v>50</v>
      </c>
      <c r="M163" t="s">
        <v>2071</v>
      </c>
      <c r="O163">
        <v>2.7</v>
      </c>
      <c r="P163" t="s">
        <v>53</v>
      </c>
      <c r="Q163" t="s">
        <v>2077</v>
      </c>
      <c r="R163">
        <v>0.77</v>
      </c>
      <c r="S163" s="2">
        <v>0.77</v>
      </c>
      <c r="T163" s="2" t="str">
        <f t="shared" si="8"/>
        <v>71% to 80%</v>
      </c>
    </row>
    <row r="164" spans="1:21" x14ac:dyDescent="0.3">
      <c r="A164" t="s">
        <v>392</v>
      </c>
      <c r="B164" t="s">
        <v>393</v>
      </c>
      <c r="C164" t="s">
        <v>76</v>
      </c>
      <c r="D164" t="s">
        <v>80</v>
      </c>
      <c r="E164">
        <v>39</v>
      </c>
      <c r="F164" t="str">
        <f t="shared" si="6"/>
        <v>31 to 40</v>
      </c>
      <c r="G164" t="s">
        <v>104</v>
      </c>
      <c r="H164" t="s">
        <v>105</v>
      </c>
      <c r="I164" t="s">
        <v>33</v>
      </c>
      <c r="J164">
        <v>13</v>
      </c>
      <c r="K164" t="str">
        <f t="shared" si="7"/>
        <v>11 to 20</v>
      </c>
      <c r="L164" s="1">
        <v>30</v>
      </c>
      <c r="M164" t="s">
        <v>2069</v>
      </c>
      <c r="O164">
        <v>1.1000000000000001</v>
      </c>
      <c r="P164">
        <v>1</v>
      </c>
      <c r="Q164" t="s">
        <v>2076</v>
      </c>
      <c r="T164" s="2" t="str">
        <f t="shared" si="8"/>
        <v/>
      </c>
    </row>
    <row r="165" spans="1:21" x14ac:dyDescent="0.3">
      <c r="A165" t="s">
        <v>394</v>
      </c>
      <c r="B165" t="s">
        <v>395</v>
      </c>
      <c r="C165" t="s">
        <v>111</v>
      </c>
      <c r="D165" t="s">
        <v>80</v>
      </c>
      <c r="E165">
        <v>29</v>
      </c>
      <c r="F165" t="str">
        <f t="shared" si="6"/>
        <v>21 to 30</v>
      </c>
      <c r="G165" t="s">
        <v>27</v>
      </c>
      <c r="H165" t="s">
        <v>28</v>
      </c>
      <c r="I165" t="s">
        <v>47</v>
      </c>
      <c r="J165">
        <v>10</v>
      </c>
      <c r="K165" t="str">
        <f t="shared" si="7"/>
        <v>0 to 10</v>
      </c>
      <c r="L165" s="1">
        <v>40</v>
      </c>
      <c r="M165" t="s">
        <v>2068</v>
      </c>
      <c r="N165" t="s">
        <v>2067</v>
      </c>
      <c r="O165">
        <v>1.2</v>
      </c>
      <c r="P165" t="b">
        <v>0</v>
      </c>
      <c r="Q165" t="s">
        <v>2077</v>
      </c>
      <c r="R165">
        <v>0.78</v>
      </c>
      <c r="S165" s="2">
        <v>0.78</v>
      </c>
      <c r="T165" s="2" t="str">
        <f t="shared" si="8"/>
        <v>71% to 80%</v>
      </c>
    </row>
    <row r="166" spans="1:21" x14ac:dyDescent="0.3">
      <c r="A166" t="s">
        <v>396</v>
      </c>
      <c r="B166" t="s">
        <v>397</v>
      </c>
      <c r="C166" t="s">
        <v>76</v>
      </c>
      <c r="D166" t="s">
        <v>80</v>
      </c>
      <c r="E166">
        <v>24</v>
      </c>
      <c r="F166" t="str">
        <f t="shared" si="6"/>
        <v>21 to 30</v>
      </c>
      <c r="G166" t="s">
        <v>104</v>
      </c>
      <c r="H166" t="s">
        <v>105</v>
      </c>
      <c r="I166" t="s">
        <v>66</v>
      </c>
      <c r="J166">
        <v>6</v>
      </c>
      <c r="K166" t="str">
        <f t="shared" si="7"/>
        <v>0 to 10</v>
      </c>
      <c r="L166" s="1">
        <v>30</v>
      </c>
      <c r="M166" t="s">
        <v>2069</v>
      </c>
      <c r="O166">
        <v>0</v>
      </c>
      <c r="P166" t="s">
        <v>19</v>
      </c>
      <c r="Q166" t="s">
        <v>2076</v>
      </c>
      <c r="R166">
        <v>0.84</v>
      </c>
      <c r="S166" s="2">
        <v>0.84</v>
      </c>
      <c r="T166" s="2" t="str">
        <f t="shared" si="8"/>
        <v>81% to 90%</v>
      </c>
    </row>
    <row r="167" spans="1:21" x14ac:dyDescent="0.3">
      <c r="A167" t="s">
        <v>398</v>
      </c>
      <c r="B167" t="s">
        <v>399</v>
      </c>
      <c r="C167" t="s">
        <v>111</v>
      </c>
      <c r="D167" t="s">
        <v>80</v>
      </c>
      <c r="E167">
        <v>26</v>
      </c>
      <c r="F167" t="str">
        <f t="shared" si="6"/>
        <v>21 to 30</v>
      </c>
      <c r="G167" t="s">
        <v>27</v>
      </c>
      <c r="H167" t="s">
        <v>28</v>
      </c>
      <c r="I167" t="s">
        <v>18</v>
      </c>
      <c r="J167">
        <v>6</v>
      </c>
      <c r="K167" t="str">
        <f t="shared" si="7"/>
        <v>0 to 10</v>
      </c>
      <c r="L167" s="1">
        <v>40</v>
      </c>
      <c r="M167" t="s">
        <v>2068</v>
      </c>
      <c r="N167" t="s">
        <v>2067</v>
      </c>
      <c r="O167">
        <v>2.8</v>
      </c>
      <c r="P167" t="s">
        <v>53</v>
      </c>
      <c r="Q167" t="s">
        <v>2077</v>
      </c>
      <c r="R167">
        <v>82</v>
      </c>
      <c r="S167" s="2">
        <v>0.82</v>
      </c>
      <c r="T167" s="2" t="str">
        <f t="shared" si="8"/>
        <v>81% to 90%</v>
      </c>
      <c r="U167">
        <v>0.82</v>
      </c>
    </row>
    <row r="168" spans="1:21" x14ac:dyDescent="0.3">
      <c r="A168" t="s">
        <v>400</v>
      </c>
      <c r="B168" t="s">
        <v>401</v>
      </c>
      <c r="C168" t="s">
        <v>111</v>
      </c>
      <c r="D168" t="s">
        <v>80</v>
      </c>
      <c r="E168">
        <v>34</v>
      </c>
      <c r="F168" t="str">
        <f t="shared" si="6"/>
        <v>31 to 40</v>
      </c>
      <c r="G168" t="s">
        <v>87</v>
      </c>
      <c r="H168" t="s">
        <v>88</v>
      </c>
      <c r="I168" t="s">
        <v>33</v>
      </c>
      <c r="J168">
        <v>11</v>
      </c>
      <c r="K168" t="str">
        <f t="shared" si="7"/>
        <v>11 to 20</v>
      </c>
      <c r="L168" s="1">
        <v>50</v>
      </c>
      <c r="M168" t="s">
        <v>2065</v>
      </c>
      <c r="N168" t="s">
        <v>2071</v>
      </c>
      <c r="O168">
        <v>3.9</v>
      </c>
      <c r="P168">
        <v>1</v>
      </c>
      <c r="Q168" t="s">
        <v>2076</v>
      </c>
      <c r="R168">
        <v>0.82</v>
      </c>
      <c r="S168" s="2">
        <v>0.82</v>
      </c>
      <c r="T168" s="2" t="str">
        <f t="shared" si="8"/>
        <v>81% to 90%</v>
      </c>
    </row>
    <row r="169" spans="1:21" x14ac:dyDescent="0.3">
      <c r="A169" t="s">
        <v>402</v>
      </c>
      <c r="B169" t="s">
        <v>403</v>
      </c>
      <c r="C169" t="s">
        <v>15</v>
      </c>
      <c r="D169" t="s">
        <v>20</v>
      </c>
      <c r="E169">
        <v>55</v>
      </c>
      <c r="F169" t="str">
        <f t="shared" si="6"/>
        <v>51 to 60</v>
      </c>
      <c r="G169" t="s">
        <v>118</v>
      </c>
      <c r="H169" t="s">
        <v>119</v>
      </c>
      <c r="I169" t="s">
        <v>47</v>
      </c>
      <c r="J169">
        <v>14</v>
      </c>
      <c r="K169" t="str">
        <f t="shared" si="7"/>
        <v>11 to 20</v>
      </c>
      <c r="L169" s="1">
        <v>30</v>
      </c>
      <c r="M169" t="s">
        <v>2068</v>
      </c>
      <c r="N169" t="s">
        <v>2069</v>
      </c>
      <c r="O169">
        <v>1.2</v>
      </c>
      <c r="P169" t="s">
        <v>19</v>
      </c>
      <c r="Q169" t="s">
        <v>2076</v>
      </c>
      <c r="R169">
        <v>0.91</v>
      </c>
      <c r="S169" s="2">
        <v>0.91</v>
      </c>
      <c r="T169" s="2" t="str">
        <f t="shared" si="8"/>
        <v>91% to 100%</v>
      </c>
    </row>
    <row r="170" spans="1:21" x14ac:dyDescent="0.3">
      <c r="A170" t="s">
        <v>404</v>
      </c>
      <c r="B170" t="s">
        <v>405</v>
      </c>
      <c r="C170" t="s">
        <v>36</v>
      </c>
      <c r="D170" t="s">
        <v>20</v>
      </c>
      <c r="E170">
        <v>24</v>
      </c>
      <c r="F170" t="str">
        <f t="shared" si="6"/>
        <v>21 to 30</v>
      </c>
      <c r="G170" t="s">
        <v>83</v>
      </c>
      <c r="H170" t="s">
        <v>84</v>
      </c>
      <c r="I170" t="s">
        <v>52</v>
      </c>
      <c r="J170">
        <v>0</v>
      </c>
      <c r="K170" t="str">
        <f t="shared" si="7"/>
        <v>0 to 10</v>
      </c>
      <c r="L170" s="1">
        <v>100</v>
      </c>
      <c r="M170" t="s">
        <v>2070</v>
      </c>
      <c r="P170" t="s">
        <v>67</v>
      </c>
      <c r="Q170" t="s">
        <v>2077</v>
      </c>
      <c r="T170" s="2" t="str">
        <f t="shared" si="8"/>
        <v/>
      </c>
    </row>
    <row r="171" spans="1:21" x14ac:dyDescent="0.3">
      <c r="A171" t="s">
        <v>406</v>
      </c>
      <c r="B171" t="s">
        <v>407</v>
      </c>
      <c r="C171" t="s">
        <v>15</v>
      </c>
      <c r="D171" t="s">
        <v>20</v>
      </c>
      <c r="E171">
        <v>56</v>
      </c>
      <c r="F171" t="str">
        <f t="shared" si="6"/>
        <v>51 to 60</v>
      </c>
      <c r="G171" t="s">
        <v>188</v>
      </c>
      <c r="H171" t="s">
        <v>189</v>
      </c>
      <c r="I171" t="s">
        <v>33</v>
      </c>
      <c r="K171" t="str">
        <f t="shared" si="7"/>
        <v/>
      </c>
      <c r="L171" s="1">
        <v>100</v>
      </c>
      <c r="M171" t="s">
        <v>2070</v>
      </c>
      <c r="O171">
        <v>3.2</v>
      </c>
      <c r="P171">
        <v>0</v>
      </c>
      <c r="Q171" t="s">
        <v>2077</v>
      </c>
      <c r="R171">
        <v>0.62</v>
      </c>
      <c r="S171" s="2">
        <v>0.62</v>
      </c>
      <c r="T171" s="2" t="str">
        <f t="shared" si="8"/>
        <v>61% to 70 %</v>
      </c>
    </row>
    <row r="172" spans="1:21" x14ac:dyDescent="0.3">
      <c r="A172" t="s">
        <v>408</v>
      </c>
      <c r="B172" t="s">
        <v>409</v>
      </c>
      <c r="C172" t="s">
        <v>76</v>
      </c>
      <c r="D172" t="s">
        <v>80</v>
      </c>
      <c r="E172">
        <v>47</v>
      </c>
      <c r="F172" t="str">
        <f t="shared" si="6"/>
        <v>41 to 50</v>
      </c>
      <c r="G172" t="s">
        <v>158</v>
      </c>
      <c r="H172" t="s">
        <v>159</v>
      </c>
      <c r="I172" t="s">
        <v>60</v>
      </c>
      <c r="J172">
        <v>21</v>
      </c>
      <c r="K172" t="str">
        <f t="shared" si="7"/>
        <v>21 to 30</v>
      </c>
      <c r="L172" s="1">
        <v>100</v>
      </c>
      <c r="M172" t="s">
        <v>2065</v>
      </c>
      <c r="N172" t="s">
        <v>2070</v>
      </c>
      <c r="O172">
        <v>0</v>
      </c>
      <c r="P172" t="s">
        <v>53</v>
      </c>
      <c r="Q172" t="s">
        <v>2077</v>
      </c>
      <c r="T172" s="2" t="str">
        <f t="shared" si="8"/>
        <v/>
      </c>
    </row>
    <row r="173" spans="1:21" x14ac:dyDescent="0.3">
      <c r="A173" t="s">
        <v>410</v>
      </c>
      <c r="B173" t="s">
        <v>411</v>
      </c>
      <c r="C173" t="s">
        <v>76</v>
      </c>
      <c r="D173" t="s">
        <v>80</v>
      </c>
      <c r="E173">
        <v>52</v>
      </c>
      <c r="F173" t="str">
        <f t="shared" si="6"/>
        <v>51 to 60</v>
      </c>
      <c r="G173" t="s">
        <v>23</v>
      </c>
      <c r="H173" t="s">
        <v>24</v>
      </c>
      <c r="I173" t="s">
        <v>63</v>
      </c>
      <c r="J173">
        <v>0</v>
      </c>
      <c r="K173" t="str">
        <f t="shared" si="7"/>
        <v>0 to 10</v>
      </c>
      <c r="O173">
        <v>4.3</v>
      </c>
      <c r="P173">
        <v>0</v>
      </c>
      <c r="Q173" t="s">
        <v>2077</v>
      </c>
      <c r="R173">
        <v>0.9</v>
      </c>
      <c r="S173" s="2">
        <v>0.9</v>
      </c>
      <c r="T173" s="2" t="str">
        <f t="shared" si="8"/>
        <v>81% to 90%</v>
      </c>
    </row>
    <row r="174" spans="1:21" x14ac:dyDescent="0.3">
      <c r="A174" t="s">
        <v>412</v>
      </c>
      <c r="B174" t="s">
        <v>413</v>
      </c>
      <c r="C174" t="s">
        <v>111</v>
      </c>
      <c r="D174" t="s">
        <v>80</v>
      </c>
      <c r="E174">
        <v>54</v>
      </c>
      <c r="F174" t="str">
        <f t="shared" si="6"/>
        <v>51 to 60</v>
      </c>
      <c r="G174" t="s">
        <v>58</v>
      </c>
      <c r="H174" t="s">
        <v>59</v>
      </c>
      <c r="I174" t="s">
        <v>108</v>
      </c>
      <c r="J174">
        <v>32</v>
      </c>
      <c r="K174" t="str">
        <f t="shared" si="7"/>
        <v>31 to 40</v>
      </c>
      <c r="L174" s="1">
        <v>20</v>
      </c>
      <c r="M174" t="s">
        <v>2065</v>
      </c>
      <c r="N174" t="s">
        <v>2072</v>
      </c>
      <c r="O174">
        <v>3.4</v>
      </c>
      <c r="P174" t="s">
        <v>67</v>
      </c>
      <c r="Q174" t="s">
        <v>2077</v>
      </c>
      <c r="T174" s="2" t="str">
        <f t="shared" si="8"/>
        <v/>
      </c>
    </row>
    <row r="175" spans="1:21" x14ac:dyDescent="0.3">
      <c r="A175" t="s">
        <v>414</v>
      </c>
      <c r="B175" t="s">
        <v>415</v>
      </c>
      <c r="C175" t="s">
        <v>76</v>
      </c>
      <c r="D175" t="s">
        <v>80</v>
      </c>
      <c r="E175">
        <v>53</v>
      </c>
      <c r="F175" t="str">
        <f t="shared" si="6"/>
        <v>51 to 60</v>
      </c>
      <c r="G175" t="s">
        <v>42</v>
      </c>
      <c r="H175" t="s">
        <v>43</v>
      </c>
      <c r="I175" t="s">
        <v>63</v>
      </c>
      <c r="J175">
        <v>21</v>
      </c>
      <c r="K175" t="str">
        <f t="shared" si="7"/>
        <v>21 to 30</v>
      </c>
      <c r="L175" s="1">
        <v>30</v>
      </c>
      <c r="M175" t="s">
        <v>2065</v>
      </c>
      <c r="N175" t="s">
        <v>2069</v>
      </c>
      <c r="O175">
        <v>4.2</v>
      </c>
      <c r="P175">
        <v>1</v>
      </c>
      <c r="Q175" t="s">
        <v>2076</v>
      </c>
      <c r="R175">
        <v>73</v>
      </c>
      <c r="S175" s="2">
        <v>0.73</v>
      </c>
      <c r="T175" s="2" t="str">
        <f t="shared" si="8"/>
        <v>71% to 80%</v>
      </c>
      <c r="U175">
        <v>0.73</v>
      </c>
    </row>
    <row r="176" spans="1:21" x14ac:dyDescent="0.3">
      <c r="A176" t="s">
        <v>416</v>
      </c>
      <c r="B176" t="s">
        <v>417</v>
      </c>
      <c r="C176" t="s">
        <v>111</v>
      </c>
      <c r="D176" t="s">
        <v>80</v>
      </c>
      <c r="E176">
        <v>45</v>
      </c>
      <c r="F176" t="str">
        <f t="shared" si="6"/>
        <v>41 to 50</v>
      </c>
      <c r="G176" t="s">
        <v>104</v>
      </c>
      <c r="H176" t="s">
        <v>105</v>
      </c>
      <c r="I176" t="s">
        <v>33</v>
      </c>
      <c r="J176">
        <v>17</v>
      </c>
      <c r="K176" t="str">
        <f t="shared" si="7"/>
        <v>11 to 20</v>
      </c>
      <c r="L176" s="1">
        <v>50</v>
      </c>
      <c r="M176" t="s">
        <v>2065</v>
      </c>
      <c r="N176" t="s">
        <v>2071</v>
      </c>
      <c r="O176">
        <v>4.7</v>
      </c>
      <c r="P176">
        <v>1</v>
      </c>
      <c r="Q176" t="s">
        <v>2076</v>
      </c>
      <c r="R176">
        <v>0.73</v>
      </c>
      <c r="S176" s="2">
        <v>0.73</v>
      </c>
      <c r="T176" s="2" t="str">
        <f t="shared" si="8"/>
        <v>71% to 80%</v>
      </c>
    </row>
    <row r="177" spans="1:21" x14ac:dyDescent="0.3">
      <c r="A177" t="s">
        <v>418</v>
      </c>
      <c r="B177" t="s">
        <v>419</v>
      </c>
      <c r="C177" t="s">
        <v>76</v>
      </c>
      <c r="D177" t="s">
        <v>80</v>
      </c>
      <c r="E177">
        <v>49</v>
      </c>
      <c r="F177" t="str">
        <f t="shared" si="6"/>
        <v>41 to 50</v>
      </c>
      <c r="G177" t="s">
        <v>23</v>
      </c>
      <c r="H177" t="s">
        <v>24</v>
      </c>
      <c r="I177" t="s">
        <v>18</v>
      </c>
      <c r="J177">
        <v>13</v>
      </c>
      <c r="K177" t="str">
        <f t="shared" si="7"/>
        <v>11 to 20</v>
      </c>
      <c r="L177" s="1">
        <v>100</v>
      </c>
      <c r="M177" t="s">
        <v>2070</v>
      </c>
      <c r="O177">
        <v>4.2</v>
      </c>
      <c r="P177">
        <v>1</v>
      </c>
      <c r="Q177" t="s">
        <v>2076</v>
      </c>
      <c r="R177">
        <v>0.84</v>
      </c>
      <c r="S177" s="2">
        <v>0.84</v>
      </c>
      <c r="T177" s="2" t="str">
        <f t="shared" si="8"/>
        <v>81% to 90%</v>
      </c>
    </row>
    <row r="178" spans="1:21" x14ac:dyDescent="0.3">
      <c r="A178" t="s">
        <v>420</v>
      </c>
      <c r="B178" t="s">
        <v>421</v>
      </c>
      <c r="C178" t="s">
        <v>76</v>
      </c>
      <c r="D178" t="s">
        <v>80</v>
      </c>
      <c r="E178">
        <v>34</v>
      </c>
      <c r="F178" t="str">
        <f t="shared" si="6"/>
        <v>31 to 40</v>
      </c>
      <c r="G178" t="s">
        <v>50</v>
      </c>
      <c r="H178" t="s">
        <v>51</v>
      </c>
      <c r="I178" t="s">
        <v>63</v>
      </c>
      <c r="J178">
        <v>16</v>
      </c>
      <c r="K178" t="str">
        <f t="shared" si="7"/>
        <v>11 to 20</v>
      </c>
      <c r="L178" s="1">
        <v>20</v>
      </c>
      <c r="M178" t="s">
        <v>2065</v>
      </c>
      <c r="N178" t="s">
        <v>2072</v>
      </c>
      <c r="O178">
        <v>2.2999999999999998</v>
      </c>
      <c r="P178" t="s">
        <v>19</v>
      </c>
      <c r="Q178" t="s">
        <v>2076</v>
      </c>
      <c r="R178">
        <v>0.93</v>
      </c>
      <c r="S178" s="2">
        <v>0.93</v>
      </c>
      <c r="T178" s="2" t="str">
        <f t="shared" si="8"/>
        <v>91% to 100%</v>
      </c>
    </row>
    <row r="179" spans="1:21" x14ac:dyDescent="0.3">
      <c r="A179" t="s">
        <v>422</v>
      </c>
      <c r="B179" t="s">
        <v>423</v>
      </c>
      <c r="C179" t="s">
        <v>36</v>
      </c>
      <c r="D179" t="s">
        <v>20</v>
      </c>
      <c r="E179">
        <v>27</v>
      </c>
      <c r="F179" t="str">
        <f t="shared" si="6"/>
        <v>21 to 30</v>
      </c>
      <c r="G179" t="s">
        <v>158</v>
      </c>
      <c r="H179" t="s">
        <v>159</v>
      </c>
      <c r="I179" t="s">
        <v>60</v>
      </c>
      <c r="J179">
        <v>4</v>
      </c>
      <c r="K179" t="str">
        <f t="shared" si="7"/>
        <v>0 to 10</v>
      </c>
      <c r="L179" s="1">
        <v>40</v>
      </c>
      <c r="M179" t="s">
        <v>2067</v>
      </c>
      <c r="O179">
        <v>4.4000000000000004</v>
      </c>
      <c r="P179">
        <v>0</v>
      </c>
      <c r="Q179" t="s">
        <v>2077</v>
      </c>
      <c r="R179">
        <v>0.92</v>
      </c>
      <c r="S179" s="2">
        <v>0.92</v>
      </c>
      <c r="T179" s="2" t="str">
        <f t="shared" si="8"/>
        <v>91% to 100%</v>
      </c>
    </row>
    <row r="180" spans="1:21" x14ac:dyDescent="0.3">
      <c r="A180" t="s">
        <v>424</v>
      </c>
      <c r="B180" t="s">
        <v>425</v>
      </c>
      <c r="C180" t="s">
        <v>36</v>
      </c>
      <c r="D180" t="s">
        <v>20</v>
      </c>
      <c r="E180">
        <v>56</v>
      </c>
      <c r="F180" t="str">
        <f t="shared" si="6"/>
        <v>51 to 60</v>
      </c>
      <c r="G180" t="s">
        <v>104</v>
      </c>
      <c r="H180" t="s">
        <v>105</v>
      </c>
      <c r="I180" t="s">
        <v>33</v>
      </c>
      <c r="J180">
        <v>9</v>
      </c>
      <c r="K180" t="str">
        <f t="shared" si="7"/>
        <v>0 to 10</v>
      </c>
      <c r="L180" s="1">
        <v>40</v>
      </c>
      <c r="M180" t="s">
        <v>2068</v>
      </c>
      <c r="N180" t="s">
        <v>2067</v>
      </c>
      <c r="O180">
        <v>2.6</v>
      </c>
      <c r="P180">
        <v>0</v>
      </c>
      <c r="Q180" t="s">
        <v>2077</v>
      </c>
      <c r="R180">
        <v>0.61</v>
      </c>
      <c r="S180" s="2">
        <v>0.61</v>
      </c>
      <c r="T180" s="2" t="str">
        <f t="shared" si="8"/>
        <v>61% to 70 %</v>
      </c>
    </row>
    <row r="181" spans="1:21" x14ac:dyDescent="0.3">
      <c r="A181" t="s">
        <v>426</v>
      </c>
      <c r="B181" t="s">
        <v>427</v>
      </c>
      <c r="C181" t="s">
        <v>36</v>
      </c>
      <c r="D181" t="s">
        <v>20</v>
      </c>
      <c r="E181">
        <v>34</v>
      </c>
      <c r="F181" t="str">
        <f t="shared" si="6"/>
        <v>31 to 40</v>
      </c>
      <c r="G181" t="s">
        <v>23</v>
      </c>
      <c r="H181" t="s">
        <v>24</v>
      </c>
      <c r="I181" t="s">
        <v>108</v>
      </c>
      <c r="J181">
        <v>11</v>
      </c>
      <c r="K181" t="str">
        <f t="shared" si="7"/>
        <v>11 to 20</v>
      </c>
      <c r="O181">
        <v>1.2</v>
      </c>
      <c r="P181">
        <v>1</v>
      </c>
      <c r="Q181" t="s">
        <v>2076</v>
      </c>
      <c r="T181" s="2" t="str">
        <f t="shared" si="8"/>
        <v/>
      </c>
    </row>
    <row r="182" spans="1:21" x14ac:dyDescent="0.3">
      <c r="A182" t="s">
        <v>428</v>
      </c>
      <c r="B182" t="s">
        <v>429</v>
      </c>
      <c r="C182" t="s">
        <v>36</v>
      </c>
      <c r="D182" t="s">
        <v>20</v>
      </c>
      <c r="E182">
        <v>54</v>
      </c>
      <c r="F182" t="str">
        <f t="shared" si="6"/>
        <v>51 to 60</v>
      </c>
      <c r="G182" t="s">
        <v>58</v>
      </c>
      <c r="H182" t="s">
        <v>59</v>
      </c>
      <c r="I182" t="s">
        <v>66</v>
      </c>
      <c r="J182">
        <v>29</v>
      </c>
      <c r="K182" t="str">
        <f t="shared" si="7"/>
        <v>21 to 30</v>
      </c>
      <c r="L182" s="1">
        <v>40</v>
      </c>
      <c r="M182" t="s">
        <v>2068</v>
      </c>
      <c r="N182" t="s">
        <v>2067</v>
      </c>
      <c r="O182">
        <v>3.1</v>
      </c>
      <c r="P182">
        <v>1</v>
      </c>
      <c r="Q182" t="s">
        <v>2076</v>
      </c>
      <c r="T182" s="2" t="str">
        <f t="shared" si="8"/>
        <v/>
      </c>
    </row>
    <row r="183" spans="1:21" x14ac:dyDescent="0.3">
      <c r="A183" t="s">
        <v>430</v>
      </c>
      <c r="B183" t="s">
        <v>431</v>
      </c>
      <c r="C183" t="s">
        <v>15</v>
      </c>
      <c r="D183" t="s">
        <v>20</v>
      </c>
      <c r="E183">
        <v>60</v>
      </c>
      <c r="F183" t="str">
        <f t="shared" si="6"/>
        <v>51 to 60</v>
      </c>
      <c r="G183" t="s">
        <v>77</v>
      </c>
      <c r="H183" t="s">
        <v>78</v>
      </c>
      <c r="I183" t="s">
        <v>108</v>
      </c>
      <c r="K183" t="str">
        <f t="shared" si="7"/>
        <v/>
      </c>
      <c r="L183" s="1">
        <v>20</v>
      </c>
      <c r="M183" t="s">
        <v>2072</v>
      </c>
      <c r="O183">
        <v>2.2000000000000002</v>
      </c>
      <c r="P183" t="b">
        <v>0</v>
      </c>
      <c r="Q183" t="s">
        <v>2077</v>
      </c>
      <c r="R183">
        <v>0.6</v>
      </c>
      <c r="S183" s="2">
        <v>0.6</v>
      </c>
      <c r="T183" s="2" t="str">
        <f t="shared" si="8"/>
        <v>50% to 60%</v>
      </c>
    </row>
    <row r="184" spans="1:21" x14ac:dyDescent="0.3">
      <c r="A184" t="s">
        <v>432</v>
      </c>
      <c r="B184" t="s">
        <v>433</v>
      </c>
      <c r="C184" t="s">
        <v>15</v>
      </c>
      <c r="D184" t="s">
        <v>20</v>
      </c>
      <c r="E184">
        <v>50</v>
      </c>
      <c r="F184" t="str">
        <f t="shared" si="6"/>
        <v>41 to 50</v>
      </c>
      <c r="G184" t="s">
        <v>23</v>
      </c>
      <c r="H184" t="s">
        <v>24</v>
      </c>
      <c r="I184" t="s">
        <v>39</v>
      </c>
      <c r="J184">
        <v>22</v>
      </c>
      <c r="K184" t="str">
        <f t="shared" si="7"/>
        <v>21 to 30</v>
      </c>
      <c r="L184" s="1">
        <v>100</v>
      </c>
      <c r="M184" t="s">
        <v>2070</v>
      </c>
      <c r="O184">
        <v>4.0999999999999996</v>
      </c>
      <c r="P184" t="s">
        <v>53</v>
      </c>
      <c r="Q184" t="s">
        <v>2077</v>
      </c>
      <c r="R184">
        <v>0.62</v>
      </c>
      <c r="S184" s="2">
        <v>0.62</v>
      </c>
      <c r="T184" s="2" t="str">
        <f t="shared" si="8"/>
        <v>61% to 70 %</v>
      </c>
    </row>
    <row r="185" spans="1:21" x14ac:dyDescent="0.3">
      <c r="A185" t="s">
        <v>434</v>
      </c>
      <c r="B185" t="s">
        <v>435</v>
      </c>
      <c r="C185" t="s">
        <v>36</v>
      </c>
      <c r="D185" t="s">
        <v>20</v>
      </c>
      <c r="E185">
        <v>35</v>
      </c>
      <c r="F185" t="str">
        <f t="shared" si="6"/>
        <v>31 to 40</v>
      </c>
      <c r="G185" t="s">
        <v>27</v>
      </c>
      <c r="H185" t="s">
        <v>28</v>
      </c>
      <c r="I185" t="s">
        <v>33</v>
      </c>
      <c r="K185" t="str">
        <f t="shared" si="7"/>
        <v/>
      </c>
      <c r="L185" s="1">
        <v>100</v>
      </c>
      <c r="M185" t="s">
        <v>2068</v>
      </c>
      <c r="N185" t="s">
        <v>2070</v>
      </c>
      <c r="P185">
        <v>0</v>
      </c>
      <c r="Q185" t="s">
        <v>2077</v>
      </c>
      <c r="R185">
        <v>0.84</v>
      </c>
      <c r="S185" s="2">
        <v>0.84</v>
      </c>
      <c r="T185" s="2" t="str">
        <f t="shared" si="8"/>
        <v>81% to 90%</v>
      </c>
    </row>
    <row r="186" spans="1:21" x14ac:dyDescent="0.3">
      <c r="A186" t="s">
        <v>436</v>
      </c>
      <c r="B186" t="s">
        <v>437</v>
      </c>
      <c r="C186" t="s">
        <v>15</v>
      </c>
      <c r="D186" t="s">
        <v>20</v>
      </c>
      <c r="E186">
        <v>44</v>
      </c>
      <c r="F186" t="str">
        <f t="shared" si="6"/>
        <v>41 to 50</v>
      </c>
      <c r="G186" t="s">
        <v>188</v>
      </c>
      <c r="H186" t="s">
        <v>189</v>
      </c>
      <c r="I186" t="s">
        <v>39</v>
      </c>
      <c r="K186" t="str">
        <f t="shared" si="7"/>
        <v/>
      </c>
      <c r="O186">
        <v>1.4</v>
      </c>
      <c r="P186">
        <v>0</v>
      </c>
      <c r="Q186" t="s">
        <v>2077</v>
      </c>
      <c r="R186">
        <v>0.93</v>
      </c>
      <c r="S186" s="2">
        <v>0.93</v>
      </c>
      <c r="T186" s="2" t="str">
        <f t="shared" si="8"/>
        <v>91% to 100%</v>
      </c>
    </row>
    <row r="187" spans="1:21" x14ac:dyDescent="0.3">
      <c r="A187" t="s">
        <v>438</v>
      </c>
      <c r="B187" t="s">
        <v>439</v>
      </c>
      <c r="C187" t="s">
        <v>15</v>
      </c>
      <c r="D187" t="s">
        <v>20</v>
      </c>
      <c r="E187">
        <v>48</v>
      </c>
      <c r="F187" t="str">
        <f t="shared" si="6"/>
        <v>41 to 50</v>
      </c>
      <c r="G187" t="s">
        <v>91</v>
      </c>
      <c r="H187" t="s">
        <v>59</v>
      </c>
      <c r="I187" t="s">
        <v>47</v>
      </c>
      <c r="J187">
        <v>15</v>
      </c>
      <c r="K187" t="str">
        <f t="shared" si="7"/>
        <v>11 to 20</v>
      </c>
      <c r="L187" s="1">
        <v>50</v>
      </c>
      <c r="M187" t="s">
        <v>2068</v>
      </c>
      <c r="N187" t="s">
        <v>2071</v>
      </c>
      <c r="O187">
        <v>1</v>
      </c>
      <c r="P187" t="s">
        <v>96</v>
      </c>
      <c r="Q187" t="s">
        <v>2076</v>
      </c>
      <c r="R187">
        <v>0.64</v>
      </c>
      <c r="S187" s="2">
        <v>0.64</v>
      </c>
      <c r="T187" s="2" t="str">
        <f t="shared" si="8"/>
        <v>61% to 70 %</v>
      </c>
    </row>
    <row r="188" spans="1:21" x14ac:dyDescent="0.3">
      <c r="A188" t="s">
        <v>440</v>
      </c>
      <c r="B188" t="s">
        <v>441</v>
      </c>
      <c r="C188" t="s">
        <v>36</v>
      </c>
      <c r="D188" t="s">
        <v>20</v>
      </c>
      <c r="E188">
        <v>30</v>
      </c>
      <c r="F188" t="str">
        <f t="shared" si="6"/>
        <v>21 to 30</v>
      </c>
      <c r="G188" t="s">
        <v>42</v>
      </c>
      <c r="H188" t="s">
        <v>43</v>
      </c>
      <c r="I188" t="s">
        <v>18</v>
      </c>
      <c r="J188">
        <v>4</v>
      </c>
      <c r="K188" t="str">
        <f t="shared" si="7"/>
        <v>0 to 10</v>
      </c>
      <c r="L188" s="1">
        <v>20</v>
      </c>
      <c r="M188" t="s">
        <v>2065</v>
      </c>
      <c r="N188" t="s">
        <v>2072</v>
      </c>
      <c r="O188">
        <v>3.3</v>
      </c>
      <c r="P188" t="s">
        <v>67</v>
      </c>
      <c r="Q188" t="s">
        <v>2077</v>
      </c>
      <c r="T188" s="2" t="str">
        <f t="shared" si="8"/>
        <v/>
      </c>
    </row>
    <row r="189" spans="1:21" x14ac:dyDescent="0.3">
      <c r="A189" t="s">
        <v>442</v>
      </c>
      <c r="B189" t="s">
        <v>443</v>
      </c>
      <c r="C189" t="s">
        <v>15</v>
      </c>
      <c r="D189" t="s">
        <v>20</v>
      </c>
      <c r="E189">
        <v>41</v>
      </c>
      <c r="F189" t="str">
        <f t="shared" si="6"/>
        <v>41 to 50</v>
      </c>
      <c r="G189" t="s">
        <v>58</v>
      </c>
      <c r="H189" t="s">
        <v>59</v>
      </c>
      <c r="I189" t="s">
        <v>66</v>
      </c>
      <c r="J189">
        <v>0</v>
      </c>
      <c r="K189" t="str">
        <f t="shared" si="7"/>
        <v>0 to 10</v>
      </c>
      <c r="L189" s="1">
        <v>20</v>
      </c>
      <c r="M189" t="s">
        <v>2065</v>
      </c>
      <c r="N189" t="s">
        <v>2072</v>
      </c>
      <c r="O189">
        <v>3.1</v>
      </c>
      <c r="P189">
        <v>0</v>
      </c>
      <c r="Q189" t="s">
        <v>2077</v>
      </c>
      <c r="R189">
        <v>90</v>
      </c>
      <c r="S189" s="2">
        <v>0.9</v>
      </c>
      <c r="T189" s="2" t="str">
        <f t="shared" si="8"/>
        <v>81% to 90%</v>
      </c>
      <c r="U189">
        <v>0.9</v>
      </c>
    </row>
    <row r="190" spans="1:21" x14ac:dyDescent="0.3">
      <c r="A190" t="s">
        <v>444</v>
      </c>
      <c r="B190" t="s">
        <v>445</v>
      </c>
      <c r="C190" t="s">
        <v>36</v>
      </c>
      <c r="D190" t="s">
        <v>20</v>
      </c>
      <c r="E190">
        <v>37</v>
      </c>
      <c r="F190" t="str">
        <f t="shared" si="6"/>
        <v>31 to 40</v>
      </c>
      <c r="G190" t="s">
        <v>27</v>
      </c>
      <c r="H190" t="s">
        <v>28</v>
      </c>
      <c r="I190" t="s">
        <v>79</v>
      </c>
      <c r="J190">
        <v>12</v>
      </c>
      <c r="K190" t="str">
        <f t="shared" si="7"/>
        <v>11 to 20</v>
      </c>
      <c r="O190">
        <v>4.9000000000000004</v>
      </c>
      <c r="P190">
        <v>1</v>
      </c>
      <c r="Q190" t="s">
        <v>2076</v>
      </c>
      <c r="R190">
        <v>0.8</v>
      </c>
      <c r="S190" s="2">
        <v>0.8</v>
      </c>
      <c r="T190" s="2" t="str">
        <f t="shared" si="8"/>
        <v>71% to 80%</v>
      </c>
    </row>
    <row r="191" spans="1:21" x14ac:dyDescent="0.3">
      <c r="A191" t="s">
        <v>446</v>
      </c>
      <c r="B191" t="s">
        <v>447</v>
      </c>
      <c r="C191" t="s">
        <v>76</v>
      </c>
      <c r="D191" t="s">
        <v>80</v>
      </c>
      <c r="F191" t="str">
        <f t="shared" si="6"/>
        <v/>
      </c>
      <c r="G191" t="s">
        <v>118</v>
      </c>
      <c r="H191" t="s">
        <v>119</v>
      </c>
      <c r="I191" t="s">
        <v>47</v>
      </c>
      <c r="J191">
        <v>4</v>
      </c>
      <c r="K191" t="str">
        <f t="shared" si="7"/>
        <v>0 to 10</v>
      </c>
      <c r="O191">
        <v>2.5</v>
      </c>
      <c r="R191">
        <v>0.7</v>
      </c>
      <c r="S191" s="2">
        <v>0.7</v>
      </c>
      <c r="T191" s="2" t="str">
        <f t="shared" si="8"/>
        <v>61% to 70 %</v>
      </c>
    </row>
    <row r="192" spans="1:21" x14ac:dyDescent="0.3">
      <c r="A192" t="s">
        <v>448</v>
      </c>
      <c r="B192" t="s">
        <v>449</v>
      </c>
      <c r="C192" t="s">
        <v>76</v>
      </c>
      <c r="D192" t="s">
        <v>80</v>
      </c>
      <c r="E192">
        <v>55</v>
      </c>
      <c r="F192" t="str">
        <f t="shared" si="6"/>
        <v>51 to 60</v>
      </c>
      <c r="G192" t="s">
        <v>46</v>
      </c>
      <c r="H192" t="s">
        <v>17</v>
      </c>
      <c r="I192" t="s">
        <v>52</v>
      </c>
      <c r="J192">
        <v>12</v>
      </c>
      <c r="K192" t="str">
        <f t="shared" si="7"/>
        <v>11 to 20</v>
      </c>
      <c r="L192" s="1">
        <v>100</v>
      </c>
      <c r="M192" t="s">
        <v>2070</v>
      </c>
      <c r="O192">
        <v>1.8</v>
      </c>
      <c r="P192">
        <v>1</v>
      </c>
      <c r="Q192" t="s">
        <v>2076</v>
      </c>
      <c r="T192" s="2" t="str">
        <f t="shared" si="8"/>
        <v/>
      </c>
    </row>
    <row r="193" spans="1:21" x14ac:dyDescent="0.3">
      <c r="A193" t="s">
        <v>450</v>
      </c>
      <c r="B193" t="s">
        <v>451</v>
      </c>
      <c r="C193" t="s">
        <v>76</v>
      </c>
      <c r="D193" t="s">
        <v>80</v>
      </c>
      <c r="F193" t="str">
        <f t="shared" si="6"/>
        <v/>
      </c>
      <c r="G193" t="s">
        <v>188</v>
      </c>
      <c r="H193" t="s">
        <v>189</v>
      </c>
      <c r="I193" t="s">
        <v>79</v>
      </c>
      <c r="J193">
        <v>0</v>
      </c>
      <c r="K193" t="str">
        <f t="shared" si="7"/>
        <v>0 to 10</v>
      </c>
      <c r="L193" s="1">
        <v>40</v>
      </c>
      <c r="M193" t="s">
        <v>2065</v>
      </c>
      <c r="N193" t="s">
        <v>2067</v>
      </c>
      <c r="O193">
        <v>0</v>
      </c>
      <c r="P193" t="s">
        <v>67</v>
      </c>
      <c r="Q193" t="s">
        <v>2077</v>
      </c>
      <c r="R193">
        <v>0.97</v>
      </c>
      <c r="S193" s="2">
        <v>0.97</v>
      </c>
      <c r="T193" s="2" t="str">
        <f t="shared" si="8"/>
        <v>91% to 100%</v>
      </c>
    </row>
    <row r="194" spans="1:21" x14ac:dyDescent="0.3">
      <c r="A194" t="s">
        <v>452</v>
      </c>
      <c r="B194" t="s">
        <v>453</v>
      </c>
      <c r="C194" t="s">
        <v>36</v>
      </c>
      <c r="D194" t="s">
        <v>20</v>
      </c>
      <c r="E194">
        <v>53</v>
      </c>
      <c r="F194" t="str">
        <f t="shared" ref="F194:F257" si="9">IF(OR($E194="",NOT(ISNUMBER($E194))),"",
 IF($E194&lt;=20,"11 to 20",
 IF($E194&lt;=30,"21 to 30",
 IF($E194&lt;=40,"31 to 40",
 IF($E194&lt;=50,"41 to 50",
 IF($E194&lt;=60,"51 to 60"))))))</f>
        <v>51 to 60</v>
      </c>
      <c r="G194" t="s">
        <v>254</v>
      </c>
      <c r="H194" t="s">
        <v>255</v>
      </c>
      <c r="I194" t="s">
        <v>108</v>
      </c>
      <c r="J194">
        <v>4</v>
      </c>
      <c r="K194" t="str">
        <f t="shared" ref="K194:K257" si="10">IF(OR($J194="",NOT(ISNUMBER($J194))),"",
 IF($J194&lt;=10,"0 to 10",
 IF($J194&lt;=20,"11 to 20",
 IF($J194&lt;=30,"21 to 30",
 IF($J194&lt;=40,"31 to 40",
 "40+")))))</f>
        <v>0 to 10</v>
      </c>
      <c r="L194" s="1">
        <v>30</v>
      </c>
      <c r="M194" t="s">
        <v>2069</v>
      </c>
      <c r="O194">
        <v>4.7</v>
      </c>
      <c r="P194" t="s">
        <v>67</v>
      </c>
      <c r="Q194" t="s">
        <v>2077</v>
      </c>
      <c r="R194">
        <v>0.99</v>
      </c>
      <c r="S194" s="2">
        <v>0.99</v>
      </c>
      <c r="T194" s="2" t="str">
        <f t="shared" ref="T194:T257" si="11">IF(OR($S194="",NOT(ISNUMBER($S194))),"",
 IF($S194&lt;=0.6,"50% to 60%",
 IF($S194&lt;=0.7,"61% to 70 %",
 IF($S194&lt;=0.8,"71% to 80%",
 IF($S194&lt;=0.9,"81% to 90%",
 IF($S194&lt;=1,"91% to 100%"))))))</f>
        <v>91% to 100%</v>
      </c>
    </row>
    <row r="195" spans="1:21" x14ac:dyDescent="0.3">
      <c r="A195" t="s">
        <v>454</v>
      </c>
      <c r="B195" t="s">
        <v>455</v>
      </c>
      <c r="C195" t="s">
        <v>15</v>
      </c>
      <c r="D195" t="s">
        <v>20</v>
      </c>
      <c r="E195">
        <v>31</v>
      </c>
      <c r="F195" t="str">
        <f t="shared" si="9"/>
        <v>31 to 40</v>
      </c>
      <c r="G195" t="s">
        <v>87</v>
      </c>
      <c r="H195" t="s">
        <v>88</v>
      </c>
      <c r="I195" t="s">
        <v>79</v>
      </c>
      <c r="J195">
        <v>8</v>
      </c>
      <c r="K195" t="str">
        <f t="shared" si="10"/>
        <v>0 to 10</v>
      </c>
      <c r="L195" s="1">
        <v>40</v>
      </c>
      <c r="M195" t="s">
        <v>2067</v>
      </c>
      <c r="O195">
        <v>4.4000000000000004</v>
      </c>
      <c r="P195">
        <v>0</v>
      </c>
      <c r="Q195" t="s">
        <v>2077</v>
      </c>
      <c r="R195">
        <v>0.7</v>
      </c>
      <c r="S195" s="2">
        <v>0.7</v>
      </c>
      <c r="T195" s="2" t="str">
        <f t="shared" si="11"/>
        <v>61% to 70 %</v>
      </c>
    </row>
    <row r="196" spans="1:21" x14ac:dyDescent="0.3">
      <c r="A196" t="s">
        <v>456</v>
      </c>
      <c r="B196" t="s">
        <v>457</v>
      </c>
      <c r="C196" t="s">
        <v>15</v>
      </c>
      <c r="D196" t="s">
        <v>20</v>
      </c>
      <c r="E196">
        <v>20</v>
      </c>
      <c r="F196" t="str">
        <f t="shared" si="9"/>
        <v>11 to 20</v>
      </c>
      <c r="G196" t="s">
        <v>87</v>
      </c>
      <c r="H196" t="s">
        <v>88</v>
      </c>
      <c r="I196" t="s">
        <v>33</v>
      </c>
      <c r="J196">
        <v>0</v>
      </c>
      <c r="K196" t="str">
        <f t="shared" si="10"/>
        <v>0 to 10</v>
      </c>
      <c r="L196" s="1">
        <v>20</v>
      </c>
      <c r="M196" t="s">
        <v>2072</v>
      </c>
      <c r="O196">
        <v>3.9</v>
      </c>
      <c r="P196" t="b">
        <v>0</v>
      </c>
      <c r="Q196" t="s">
        <v>2077</v>
      </c>
      <c r="T196" s="2" t="str">
        <f t="shared" si="11"/>
        <v/>
      </c>
    </row>
    <row r="197" spans="1:21" x14ac:dyDescent="0.3">
      <c r="A197" t="s">
        <v>458</v>
      </c>
      <c r="B197" t="s">
        <v>459</v>
      </c>
      <c r="C197" t="s">
        <v>15</v>
      </c>
      <c r="D197" t="s">
        <v>20</v>
      </c>
      <c r="E197">
        <v>33</v>
      </c>
      <c r="F197" t="str">
        <f t="shared" si="9"/>
        <v>31 to 40</v>
      </c>
      <c r="G197" t="s">
        <v>58</v>
      </c>
      <c r="H197" t="s">
        <v>59</v>
      </c>
      <c r="I197" t="s">
        <v>60</v>
      </c>
      <c r="J197">
        <v>6</v>
      </c>
      <c r="K197" t="str">
        <f t="shared" si="10"/>
        <v>0 to 10</v>
      </c>
      <c r="L197" s="1">
        <v>50</v>
      </c>
      <c r="M197" t="s">
        <v>2068</v>
      </c>
      <c r="N197" t="s">
        <v>2071</v>
      </c>
      <c r="O197">
        <v>3.1</v>
      </c>
      <c r="P197" t="s">
        <v>53</v>
      </c>
      <c r="Q197" t="s">
        <v>2077</v>
      </c>
      <c r="T197" s="2" t="str">
        <f t="shared" si="11"/>
        <v/>
      </c>
    </row>
    <row r="198" spans="1:21" x14ac:dyDescent="0.3">
      <c r="A198" t="s">
        <v>460</v>
      </c>
      <c r="B198" t="s">
        <v>461</v>
      </c>
      <c r="C198" t="s">
        <v>111</v>
      </c>
      <c r="D198" t="s">
        <v>80</v>
      </c>
      <c r="E198">
        <v>33</v>
      </c>
      <c r="F198" t="str">
        <f t="shared" si="9"/>
        <v>31 to 40</v>
      </c>
      <c r="G198" t="s">
        <v>77</v>
      </c>
      <c r="H198" t="s">
        <v>78</v>
      </c>
      <c r="I198" t="s">
        <v>63</v>
      </c>
      <c r="J198">
        <v>0</v>
      </c>
      <c r="K198" t="str">
        <f t="shared" si="10"/>
        <v>0 to 10</v>
      </c>
      <c r="L198" s="1">
        <v>100</v>
      </c>
      <c r="M198" t="s">
        <v>2065</v>
      </c>
      <c r="N198" t="s">
        <v>2070</v>
      </c>
      <c r="O198">
        <v>1.7</v>
      </c>
      <c r="P198">
        <v>1</v>
      </c>
      <c r="Q198" t="s">
        <v>2076</v>
      </c>
      <c r="R198">
        <v>95</v>
      </c>
      <c r="S198" s="2">
        <v>0.95</v>
      </c>
      <c r="T198" s="2" t="str">
        <f t="shared" si="11"/>
        <v>91% to 100%</v>
      </c>
      <c r="U198">
        <v>0.95</v>
      </c>
    </row>
    <row r="199" spans="1:21" x14ac:dyDescent="0.3">
      <c r="A199" t="s">
        <v>462</v>
      </c>
      <c r="B199" t="s">
        <v>463</v>
      </c>
      <c r="C199" t="s">
        <v>15</v>
      </c>
      <c r="D199" t="s">
        <v>20</v>
      </c>
      <c r="E199">
        <v>31</v>
      </c>
      <c r="F199" t="str">
        <f t="shared" si="9"/>
        <v>31 to 40</v>
      </c>
      <c r="G199" t="s">
        <v>87</v>
      </c>
      <c r="H199" t="s">
        <v>88</v>
      </c>
      <c r="I199" t="s">
        <v>52</v>
      </c>
      <c r="J199">
        <v>2</v>
      </c>
      <c r="K199" t="str">
        <f t="shared" si="10"/>
        <v>0 to 10</v>
      </c>
      <c r="L199" s="1">
        <v>75</v>
      </c>
      <c r="M199" t="s">
        <v>2065</v>
      </c>
      <c r="N199" t="s">
        <v>2066</v>
      </c>
      <c r="O199">
        <v>2.8</v>
      </c>
      <c r="P199" t="b">
        <v>0</v>
      </c>
      <c r="Q199" t="s">
        <v>2077</v>
      </c>
      <c r="R199">
        <v>0.6</v>
      </c>
      <c r="S199" s="2">
        <v>0.6</v>
      </c>
      <c r="T199" s="2" t="str">
        <f t="shared" si="11"/>
        <v>50% to 60%</v>
      </c>
    </row>
    <row r="200" spans="1:21" x14ac:dyDescent="0.3">
      <c r="A200" t="s">
        <v>464</v>
      </c>
      <c r="B200" t="s">
        <v>465</v>
      </c>
      <c r="C200" t="s">
        <v>36</v>
      </c>
      <c r="D200" t="s">
        <v>20</v>
      </c>
      <c r="F200" t="str">
        <f t="shared" si="9"/>
        <v/>
      </c>
      <c r="G200" t="s">
        <v>46</v>
      </c>
      <c r="H200" t="s">
        <v>17</v>
      </c>
      <c r="I200" t="s">
        <v>63</v>
      </c>
      <c r="J200">
        <v>6</v>
      </c>
      <c r="K200" t="str">
        <f t="shared" si="10"/>
        <v>0 to 10</v>
      </c>
      <c r="L200" s="1">
        <v>100</v>
      </c>
      <c r="M200" t="s">
        <v>2070</v>
      </c>
      <c r="O200">
        <v>1.5</v>
      </c>
      <c r="P200" t="b">
        <v>0</v>
      </c>
      <c r="Q200" t="s">
        <v>2077</v>
      </c>
      <c r="T200" s="2" t="str">
        <f t="shared" si="11"/>
        <v/>
      </c>
    </row>
    <row r="201" spans="1:21" x14ac:dyDescent="0.3">
      <c r="A201" t="s">
        <v>466</v>
      </c>
      <c r="B201" t="s">
        <v>467</v>
      </c>
      <c r="C201" t="s">
        <v>76</v>
      </c>
      <c r="D201" t="s">
        <v>80</v>
      </c>
      <c r="E201">
        <v>36</v>
      </c>
      <c r="F201" t="str">
        <f t="shared" si="9"/>
        <v>31 to 40</v>
      </c>
      <c r="G201" t="s">
        <v>42</v>
      </c>
      <c r="H201" t="s">
        <v>43</v>
      </c>
      <c r="I201" t="s">
        <v>63</v>
      </c>
      <c r="J201">
        <v>0</v>
      </c>
      <c r="K201" t="str">
        <f t="shared" si="10"/>
        <v>0 to 10</v>
      </c>
      <c r="L201" s="1">
        <v>75</v>
      </c>
      <c r="M201" t="s">
        <v>2066</v>
      </c>
      <c r="O201">
        <v>1.5</v>
      </c>
      <c r="R201">
        <v>0.73</v>
      </c>
      <c r="S201" s="2">
        <v>0.73</v>
      </c>
      <c r="T201" s="2" t="str">
        <f t="shared" si="11"/>
        <v>71% to 80%</v>
      </c>
    </row>
    <row r="202" spans="1:21" x14ac:dyDescent="0.3">
      <c r="A202" t="s">
        <v>468</v>
      </c>
      <c r="B202" t="s">
        <v>469</v>
      </c>
      <c r="C202" t="s">
        <v>111</v>
      </c>
      <c r="D202" t="s">
        <v>80</v>
      </c>
      <c r="E202">
        <v>51</v>
      </c>
      <c r="F202" t="str">
        <f t="shared" si="9"/>
        <v>51 to 60</v>
      </c>
      <c r="G202" t="s">
        <v>31</v>
      </c>
      <c r="H202" t="s">
        <v>32</v>
      </c>
      <c r="I202" t="s">
        <v>108</v>
      </c>
      <c r="J202">
        <v>33</v>
      </c>
      <c r="K202" t="str">
        <f t="shared" si="10"/>
        <v>31 to 40</v>
      </c>
      <c r="L202" s="1">
        <v>75</v>
      </c>
      <c r="M202" t="s">
        <v>2065</v>
      </c>
      <c r="N202" t="s">
        <v>2066</v>
      </c>
      <c r="O202">
        <v>0</v>
      </c>
      <c r="P202" t="b">
        <v>1</v>
      </c>
      <c r="Q202" t="s">
        <v>2076</v>
      </c>
      <c r="T202" s="2" t="str">
        <f t="shared" si="11"/>
        <v/>
      </c>
    </row>
    <row r="203" spans="1:21" x14ac:dyDescent="0.3">
      <c r="A203" t="s">
        <v>470</v>
      </c>
      <c r="B203" t="s">
        <v>471</v>
      </c>
      <c r="C203" t="s">
        <v>15</v>
      </c>
      <c r="D203" t="s">
        <v>20</v>
      </c>
      <c r="E203">
        <v>44</v>
      </c>
      <c r="F203" t="str">
        <f t="shared" si="9"/>
        <v>41 to 50</v>
      </c>
      <c r="G203" t="s">
        <v>58</v>
      </c>
      <c r="H203" t="s">
        <v>59</v>
      </c>
      <c r="I203" t="s">
        <v>79</v>
      </c>
      <c r="J203">
        <v>1</v>
      </c>
      <c r="K203" t="str">
        <f t="shared" si="10"/>
        <v>0 to 10</v>
      </c>
      <c r="O203">
        <v>4.8</v>
      </c>
      <c r="P203" t="s">
        <v>53</v>
      </c>
      <c r="Q203" t="s">
        <v>2077</v>
      </c>
      <c r="R203">
        <v>0.97</v>
      </c>
      <c r="S203" s="2">
        <v>0.97</v>
      </c>
      <c r="T203" s="2" t="str">
        <f t="shared" si="11"/>
        <v>91% to 100%</v>
      </c>
    </row>
    <row r="204" spans="1:21" x14ac:dyDescent="0.3">
      <c r="A204" t="s">
        <v>472</v>
      </c>
      <c r="B204" t="s">
        <v>473</v>
      </c>
      <c r="C204" t="s">
        <v>15</v>
      </c>
      <c r="D204" t="s">
        <v>20</v>
      </c>
      <c r="E204">
        <v>59</v>
      </c>
      <c r="F204" t="str">
        <f t="shared" si="9"/>
        <v>51 to 60</v>
      </c>
      <c r="G204" t="s">
        <v>83</v>
      </c>
      <c r="H204" t="s">
        <v>84</v>
      </c>
      <c r="I204" t="s">
        <v>60</v>
      </c>
      <c r="J204">
        <v>13</v>
      </c>
      <c r="K204" t="str">
        <f t="shared" si="10"/>
        <v>11 to 20</v>
      </c>
      <c r="L204" s="1">
        <v>40</v>
      </c>
      <c r="M204" t="s">
        <v>2067</v>
      </c>
      <c r="O204">
        <v>2.4</v>
      </c>
      <c r="P204" t="s">
        <v>67</v>
      </c>
      <c r="Q204" t="s">
        <v>2077</v>
      </c>
      <c r="R204">
        <v>65</v>
      </c>
      <c r="S204" s="2">
        <v>0.65</v>
      </c>
      <c r="T204" s="2" t="str">
        <f t="shared" si="11"/>
        <v>61% to 70 %</v>
      </c>
      <c r="U204">
        <v>0.65</v>
      </c>
    </row>
    <row r="205" spans="1:21" x14ac:dyDescent="0.3">
      <c r="A205" t="s">
        <v>474</v>
      </c>
      <c r="B205" t="s">
        <v>475</v>
      </c>
      <c r="C205" t="s">
        <v>76</v>
      </c>
      <c r="D205" t="s">
        <v>80</v>
      </c>
      <c r="E205">
        <v>43</v>
      </c>
      <c r="F205" t="str">
        <f t="shared" si="9"/>
        <v>41 to 50</v>
      </c>
      <c r="G205" t="s">
        <v>16</v>
      </c>
      <c r="H205" t="s">
        <v>17</v>
      </c>
      <c r="I205" t="s">
        <v>18</v>
      </c>
      <c r="J205">
        <v>2</v>
      </c>
      <c r="K205" t="str">
        <f t="shared" si="10"/>
        <v>0 to 10</v>
      </c>
      <c r="O205">
        <v>1.8</v>
      </c>
      <c r="P205" t="s">
        <v>67</v>
      </c>
      <c r="Q205" t="s">
        <v>2077</v>
      </c>
      <c r="R205">
        <v>0.61</v>
      </c>
      <c r="S205" s="2">
        <v>0.61</v>
      </c>
      <c r="T205" s="2" t="str">
        <f t="shared" si="11"/>
        <v>61% to 70 %</v>
      </c>
    </row>
    <row r="206" spans="1:21" x14ac:dyDescent="0.3">
      <c r="A206" t="s">
        <v>476</v>
      </c>
      <c r="B206" t="s">
        <v>477</v>
      </c>
      <c r="C206" t="s">
        <v>76</v>
      </c>
      <c r="D206" t="s">
        <v>80</v>
      </c>
      <c r="E206">
        <v>34</v>
      </c>
      <c r="F206" t="str">
        <f t="shared" si="9"/>
        <v>31 to 40</v>
      </c>
      <c r="G206" t="s">
        <v>16</v>
      </c>
      <c r="H206" t="s">
        <v>17</v>
      </c>
      <c r="I206" t="s">
        <v>39</v>
      </c>
      <c r="J206">
        <v>12</v>
      </c>
      <c r="K206" t="str">
        <f t="shared" si="10"/>
        <v>11 to 20</v>
      </c>
      <c r="L206" s="1">
        <v>40</v>
      </c>
      <c r="M206" t="s">
        <v>2067</v>
      </c>
      <c r="O206">
        <v>2.4</v>
      </c>
      <c r="P206">
        <v>1</v>
      </c>
      <c r="Q206" t="s">
        <v>2076</v>
      </c>
      <c r="R206">
        <v>64</v>
      </c>
      <c r="S206" s="2">
        <v>0.64</v>
      </c>
      <c r="T206" s="2" t="str">
        <f t="shared" si="11"/>
        <v>61% to 70 %</v>
      </c>
      <c r="U206">
        <v>0.64</v>
      </c>
    </row>
    <row r="207" spans="1:21" x14ac:dyDescent="0.3">
      <c r="A207" t="s">
        <v>478</v>
      </c>
      <c r="B207" t="s">
        <v>479</v>
      </c>
      <c r="C207" t="s">
        <v>15</v>
      </c>
      <c r="D207" t="s">
        <v>20</v>
      </c>
      <c r="E207">
        <v>22</v>
      </c>
      <c r="F207" t="str">
        <f t="shared" si="9"/>
        <v>21 to 30</v>
      </c>
      <c r="G207" t="s">
        <v>158</v>
      </c>
      <c r="H207" t="s">
        <v>159</v>
      </c>
      <c r="I207" t="s">
        <v>33</v>
      </c>
      <c r="J207">
        <v>2</v>
      </c>
      <c r="K207" t="str">
        <f t="shared" si="10"/>
        <v>0 to 10</v>
      </c>
      <c r="L207" s="1">
        <v>20</v>
      </c>
      <c r="M207" t="s">
        <v>2068</v>
      </c>
      <c r="N207" t="s">
        <v>2072</v>
      </c>
      <c r="P207" t="s">
        <v>67</v>
      </c>
      <c r="Q207" t="s">
        <v>2077</v>
      </c>
      <c r="T207" s="2" t="str">
        <f t="shared" si="11"/>
        <v/>
      </c>
    </row>
    <row r="208" spans="1:21" x14ac:dyDescent="0.3">
      <c r="A208" t="s">
        <v>480</v>
      </c>
      <c r="B208" t="s">
        <v>481</v>
      </c>
      <c r="C208" t="s">
        <v>15</v>
      </c>
      <c r="D208" t="s">
        <v>20</v>
      </c>
      <c r="E208">
        <v>46</v>
      </c>
      <c r="F208" t="str">
        <f t="shared" si="9"/>
        <v>41 to 50</v>
      </c>
      <c r="G208" t="s">
        <v>31</v>
      </c>
      <c r="H208" t="s">
        <v>32</v>
      </c>
      <c r="I208" t="s">
        <v>108</v>
      </c>
      <c r="J208">
        <v>16</v>
      </c>
      <c r="K208" t="str">
        <f t="shared" si="10"/>
        <v>11 to 20</v>
      </c>
      <c r="L208" s="1">
        <v>20</v>
      </c>
      <c r="M208" t="s">
        <v>2072</v>
      </c>
      <c r="O208">
        <v>4.8</v>
      </c>
      <c r="P208">
        <v>1</v>
      </c>
      <c r="Q208" t="s">
        <v>2076</v>
      </c>
      <c r="R208">
        <v>0.86</v>
      </c>
      <c r="S208" s="2">
        <v>0.86</v>
      </c>
      <c r="T208" s="2" t="str">
        <f t="shared" si="11"/>
        <v>81% to 90%</v>
      </c>
    </row>
    <row r="209" spans="1:21" x14ac:dyDescent="0.3">
      <c r="A209" t="s">
        <v>482</v>
      </c>
      <c r="B209" t="s">
        <v>483</v>
      </c>
      <c r="C209" t="s">
        <v>76</v>
      </c>
      <c r="D209" t="s">
        <v>80</v>
      </c>
      <c r="E209">
        <v>59</v>
      </c>
      <c r="F209" t="str">
        <f t="shared" si="9"/>
        <v>51 to 60</v>
      </c>
      <c r="G209" t="s">
        <v>91</v>
      </c>
      <c r="H209" t="s">
        <v>59</v>
      </c>
      <c r="I209" t="s">
        <v>79</v>
      </c>
      <c r="J209">
        <v>14</v>
      </c>
      <c r="K209" t="str">
        <f t="shared" si="10"/>
        <v>11 to 20</v>
      </c>
      <c r="L209" s="1">
        <v>30</v>
      </c>
      <c r="M209" t="s">
        <v>2069</v>
      </c>
      <c r="O209">
        <v>3.8</v>
      </c>
      <c r="R209">
        <v>0.66</v>
      </c>
      <c r="S209" s="2">
        <v>0.66</v>
      </c>
      <c r="T209" s="2" t="str">
        <f t="shared" si="11"/>
        <v>61% to 70 %</v>
      </c>
    </row>
    <row r="210" spans="1:21" x14ac:dyDescent="0.3">
      <c r="A210" t="s">
        <v>484</v>
      </c>
      <c r="B210" t="s">
        <v>485</v>
      </c>
      <c r="C210" t="s">
        <v>111</v>
      </c>
      <c r="D210" t="s">
        <v>80</v>
      </c>
      <c r="F210" t="str">
        <f t="shared" si="9"/>
        <v/>
      </c>
      <c r="G210" t="s">
        <v>46</v>
      </c>
      <c r="H210" t="s">
        <v>17</v>
      </c>
      <c r="I210" t="s">
        <v>18</v>
      </c>
      <c r="J210">
        <v>9</v>
      </c>
      <c r="K210" t="str">
        <f t="shared" si="10"/>
        <v>0 to 10</v>
      </c>
      <c r="L210" s="1">
        <v>100</v>
      </c>
      <c r="M210" t="s">
        <v>2065</v>
      </c>
      <c r="N210" t="s">
        <v>2070</v>
      </c>
      <c r="O210">
        <v>4.5</v>
      </c>
      <c r="P210" t="s">
        <v>96</v>
      </c>
      <c r="Q210" t="s">
        <v>2076</v>
      </c>
      <c r="R210">
        <v>83</v>
      </c>
      <c r="S210" s="2">
        <v>0.83</v>
      </c>
      <c r="T210" s="2" t="str">
        <f t="shared" si="11"/>
        <v>81% to 90%</v>
      </c>
      <c r="U210">
        <v>0.83</v>
      </c>
    </row>
    <row r="211" spans="1:21" x14ac:dyDescent="0.3">
      <c r="A211" t="s">
        <v>486</v>
      </c>
      <c r="B211" t="s">
        <v>487</v>
      </c>
      <c r="C211" t="s">
        <v>36</v>
      </c>
      <c r="D211" t="s">
        <v>20</v>
      </c>
      <c r="E211">
        <v>39</v>
      </c>
      <c r="F211" t="str">
        <f t="shared" si="9"/>
        <v>31 to 40</v>
      </c>
      <c r="G211" t="s">
        <v>27</v>
      </c>
      <c r="H211" t="s">
        <v>28</v>
      </c>
      <c r="I211" t="s">
        <v>60</v>
      </c>
      <c r="K211" t="str">
        <f t="shared" si="10"/>
        <v/>
      </c>
      <c r="L211" s="1">
        <v>75</v>
      </c>
      <c r="M211" t="s">
        <v>2068</v>
      </c>
      <c r="N211" t="s">
        <v>2066</v>
      </c>
      <c r="O211">
        <v>3.6</v>
      </c>
      <c r="P211" t="s">
        <v>96</v>
      </c>
      <c r="Q211" t="s">
        <v>2076</v>
      </c>
      <c r="R211">
        <v>0.87</v>
      </c>
      <c r="S211" s="2">
        <v>0.87</v>
      </c>
      <c r="T211" s="2" t="str">
        <f t="shared" si="11"/>
        <v>81% to 90%</v>
      </c>
    </row>
    <row r="212" spans="1:21" x14ac:dyDescent="0.3">
      <c r="A212" t="s">
        <v>488</v>
      </c>
      <c r="B212" t="s">
        <v>489</v>
      </c>
      <c r="C212" t="s">
        <v>15</v>
      </c>
      <c r="D212" t="s">
        <v>20</v>
      </c>
      <c r="E212">
        <v>50</v>
      </c>
      <c r="F212" t="str">
        <f t="shared" si="9"/>
        <v>41 to 50</v>
      </c>
      <c r="G212" t="s">
        <v>42</v>
      </c>
      <c r="H212" t="s">
        <v>43</v>
      </c>
      <c r="I212" t="s">
        <v>39</v>
      </c>
      <c r="J212">
        <v>19</v>
      </c>
      <c r="K212" t="str">
        <f t="shared" si="10"/>
        <v>11 to 20</v>
      </c>
      <c r="L212" s="1">
        <v>40</v>
      </c>
      <c r="M212" t="s">
        <v>2065</v>
      </c>
      <c r="N212" t="s">
        <v>2067</v>
      </c>
      <c r="O212">
        <v>4.9000000000000004</v>
      </c>
      <c r="R212">
        <v>0.82</v>
      </c>
      <c r="S212" s="2">
        <v>0.82</v>
      </c>
      <c r="T212" s="2" t="str">
        <f t="shared" si="11"/>
        <v>81% to 90%</v>
      </c>
    </row>
    <row r="213" spans="1:21" x14ac:dyDescent="0.3">
      <c r="A213" t="s">
        <v>490</v>
      </c>
      <c r="B213" t="s">
        <v>491</v>
      </c>
      <c r="C213" t="s">
        <v>15</v>
      </c>
      <c r="D213" t="s">
        <v>20</v>
      </c>
      <c r="E213">
        <v>58</v>
      </c>
      <c r="F213" t="str">
        <f t="shared" si="9"/>
        <v>51 to 60</v>
      </c>
      <c r="G213" t="s">
        <v>16</v>
      </c>
      <c r="H213" t="s">
        <v>17</v>
      </c>
      <c r="I213" t="s">
        <v>60</v>
      </c>
      <c r="J213">
        <v>33</v>
      </c>
      <c r="K213" t="str">
        <f t="shared" si="10"/>
        <v>31 to 40</v>
      </c>
      <c r="L213" s="1">
        <v>30</v>
      </c>
      <c r="M213" t="s">
        <v>2069</v>
      </c>
      <c r="O213">
        <v>3.3</v>
      </c>
      <c r="P213" t="s">
        <v>96</v>
      </c>
      <c r="Q213" t="s">
        <v>2076</v>
      </c>
      <c r="R213">
        <v>0.71</v>
      </c>
      <c r="S213" s="2">
        <v>0.71</v>
      </c>
      <c r="T213" s="2" t="str">
        <f t="shared" si="11"/>
        <v>71% to 80%</v>
      </c>
    </row>
    <row r="214" spans="1:21" x14ac:dyDescent="0.3">
      <c r="A214" t="s">
        <v>492</v>
      </c>
      <c r="B214" t="s">
        <v>493</v>
      </c>
      <c r="C214" t="s">
        <v>76</v>
      </c>
      <c r="D214" t="s">
        <v>80</v>
      </c>
      <c r="E214">
        <v>58</v>
      </c>
      <c r="F214" t="str">
        <f t="shared" si="9"/>
        <v>51 to 60</v>
      </c>
      <c r="G214" t="s">
        <v>83</v>
      </c>
      <c r="H214" t="s">
        <v>84</v>
      </c>
      <c r="I214" t="s">
        <v>33</v>
      </c>
      <c r="J214">
        <v>15</v>
      </c>
      <c r="K214" t="str">
        <f t="shared" si="10"/>
        <v>11 to 20</v>
      </c>
      <c r="L214" s="1">
        <v>20</v>
      </c>
      <c r="M214" t="s">
        <v>2072</v>
      </c>
      <c r="O214">
        <v>3.5</v>
      </c>
      <c r="R214">
        <v>0.98</v>
      </c>
      <c r="S214" s="2">
        <v>0.98</v>
      </c>
      <c r="T214" s="2" t="str">
        <f t="shared" si="11"/>
        <v>91% to 100%</v>
      </c>
    </row>
    <row r="215" spans="1:21" x14ac:dyDescent="0.3">
      <c r="A215" t="s">
        <v>494</v>
      </c>
      <c r="B215" t="s">
        <v>495</v>
      </c>
      <c r="C215" t="s">
        <v>76</v>
      </c>
      <c r="D215" t="s">
        <v>80</v>
      </c>
      <c r="E215">
        <v>45</v>
      </c>
      <c r="F215" t="str">
        <f t="shared" si="9"/>
        <v>41 to 50</v>
      </c>
      <c r="G215" t="s">
        <v>104</v>
      </c>
      <c r="H215" t="s">
        <v>105</v>
      </c>
      <c r="I215" t="s">
        <v>47</v>
      </c>
      <c r="J215">
        <v>27</v>
      </c>
      <c r="K215" t="str">
        <f t="shared" si="10"/>
        <v>21 to 30</v>
      </c>
      <c r="L215" s="1">
        <v>75</v>
      </c>
      <c r="M215" t="s">
        <v>2068</v>
      </c>
      <c r="N215" t="s">
        <v>2066</v>
      </c>
      <c r="O215">
        <v>0</v>
      </c>
      <c r="R215">
        <v>0.85</v>
      </c>
      <c r="S215" s="2">
        <v>0.85</v>
      </c>
      <c r="T215" s="2" t="str">
        <f t="shared" si="11"/>
        <v>81% to 90%</v>
      </c>
    </row>
    <row r="216" spans="1:21" x14ac:dyDescent="0.3">
      <c r="A216" t="s">
        <v>496</v>
      </c>
      <c r="B216" t="s">
        <v>497</v>
      </c>
      <c r="C216" t="s">
        <v>15</v>
      </c>
      <c r="D216" t="s">
        <v>20</v>
      </c>
      <c r="E216">
        <v>34</v>
      </c>
      <c r="F216" t="str">
        <f t="shared" si="9"/>
        <v>31 to 40</v>
      </c>
      <c r="G216" t="s">
        <v>254</v>
      </c>
      <c r="H216" t="s">
        <v>255</v>
      </c>
      <c r="I216" t="s">
        <v>52</v>
      </c>
      <c r="J216">
        <v>11</v>
      </c>
      <c r="K216" t="str">
        <f t="shared" si="10"/>
        <v>11 to 20</v>
      </c>
      <c r="L216" s="1">
        <v>40</v>
      </c>
      <c r="M216" t="s">
        <v>2068</v>
      </c>
      <c r="N216" t="s">
        <v>2067</v>
      </c>
      <c r="P216" t="b">
        <v>0</v>
      </c>
      <c r="Q216" t="s">
        <v>2077</v>
      </c>
      <c r="R216">
        <v>0.67</v>
      </c>
      <c r="S216" s="2">
        <v>0.67</v>
      </c>
      <c r="T216" s="2" t="str">
        <f t="shared" si="11"/>
        <v>61% to 70 %</v>
      </c>
    </row>
    <row r="217" spans="1:21" x14ac:dyDescent="0.3">
      <c r="A217" t="s">
        <v>498</v>
      </c>
      <c r="B217" t="s">
        <v>499</v>
      </c>
      <c r="C217" t="s">
        <v>36</v>
      </c>
      <c r="D217" t="s">
        <v>20</v>
      </c>
      <c r="E217">
        <v>51</v>
      </c>
      <c r="F217" t="str">
        <f t="shared" si="9"/>
        <v>51 to 60</v>
      </c>
      <c r="G217" t="s">
        <v>42</v>
      </c>
      <c r="H217" t="s">
        <v>43</v>
      </c>
      <c r="I217" t="s">
        <v>60</v>
      </c>
      <c r="J217">
        <v>5</v>
      </c>
      <c r="K217" t="str">
        <f t="shared" si="10"/>
        <v>0 to 10</v>
      </c>
      <c r="O217">
        <v>3</v>
      </c>
      <c r="P217">
        <v>1</v>
      </c>
      <c r="Q217" t="s">
        <v>2076</v>
      </c>
      <c r="R217">
        <v>0.88</v>
      </c>
      <c r="S217" s="2">
        <v>0.88</v>
      </c>
      <c r="T217" s="2" t="str">
        <f t="shared" si="11"/>
        <v>81% to 90%</v>
      </c>
    </row>
    <row r="218" spans="1:21" x14ac:dyDescent="0.3">
      <c r="A218" t="s">
        <v>500</v>
      </c>
      <c r="B218" t="s">
        <v>501</v>
      </c>
      <c r="C218" t="s">
        <v>15</v>
      </c>
      <c r="D218" t="s">
        <v>20</v>
      </c>
      <c r="E218">
        <v>53</v>
      </c>
      <c r="F218" t="str">
        <f t="shared" si="9"/>
        <v>51 to 60</v>
      </c>
      <c r="G218" t="s">
        <v>104</v>
      </c>
      <c r="H218" t="s">
        <v>105</v>
      </c>
      <c r="I218" t="s">
        <v>66</v>
      </c>
      <c r="J218">
        <v>27</v>
      </c>
      <c r="K218" t="str">
        <f t="shared" si="10"/>
        <v>21 to 30</v>
      </c>
      <c r="L218" s="1">
        <v>20</v>
      </c>
      <c r="M218" t="s">
        <v>2068</v>
      </c>
      <c r="N218" t="s">
        <v>2072</v>
      </c>
      <c r="O218">
        <v>4.7</v>
      </c>
      <c r="P218" t="s">
        <v>19</v>
      </c>
      <c r="Q218" t="s">
        <v>2076</v>
      </c>
      <c r="R218">
        <v>71</v>
      </c>
      <c r="S218" s="2">
        <v>0.71</v>
      </c>
      <c r="T218" s="2" t="str">
        <f t="shared" si="11"/>
        <v>71% to 80%</v>
      </c>
      <c r="U218">
        <v>0.71</v>
      </c>
    </row>
    <row r="219" spans="1:21" x14ac:dyDescent="0.3">
      <c r="A219" t="s">
        <v>502</v>
      </c>
      <c r="B219" t="s">
        <v>503</v>
      </c>
      <c r="C219" t="s">
        <v>36</v>
      </c>
      <c r="D219" t="s">
        <v>20</v>
      </c>
      <c r="E219">
        <v>27</v>
      </c>
      <c r="F219" t="str">
        <f t="shared" si="9"/>
        <v>21 to 30</v>
      </c>
      <c r="G219" t="s">
        <v>91</v>
      </c>
      <c r="H219" t="s">
        <v>59</v>
      </c>
      <c r="I219" t="s">
        <v>108</v>
      </c>
      <c r="J219">
        <v>4</v>
      </c>
      <c r="K219" t="str">
        <f t="shared" si="10"/>
        <v>0 to 10</v>
      </c>
      <c r="L219" s="1">
        <v>75</v>
      </c>
      <c r="M219" t="s">
        <v>2066</v>
      </c>
      <c r="O219">
        <v>5</v>
      </c>
      <c r="P219">
        <v>0</v>
      </c>
      <c r="Q219" t="s">
        <v>2077</v>
      </c>
      <c r="R219">
        <v>0.88</v>
      </c>
      <c r="S219" s="2">
        <v>0.88</v>
      </c>
      <c r="T219" s="2" t="str">
        <f t="shared" si="11"/>
        <v>81% to 90%</v>
      </c>
    </row>
    <row r="220" spans="1:21" x14ac:dyDescent="0.3">
      <c r="A220" t="s">
        <v>504</v>
      </c>
      <c r="B220" t="s">
        <v>505</v>
      </c>
      <c r="C220" t="s">
        <v>36</v>
      </c>
      <c r="D220" t="s">
        <v>20</v>
      </c>
      <c r="E220">
        <v>35</v>
      </c>
      <c r="F220" t="str">
        <f t="shared" si="9"/>
        <v>31 to 40</v>
      </c>
      <c r="G220" t="s">
        <v>91</v>
      </c>
      <c r="H220" t="s">
        <v>59</v>
      </c>
      <c r="I220" t="s">
        <v>47</v>
      </c>
      <c r="J220">
        <v>10</v>
      </c>
      <c r="K220" t="str">
        <f t="shared" si="10"/>
        <v>0 to 10</v>
      </c>
      <c r="L220" s="1">
        <v>20</v>
      </c>
      <c r="M220" t="s">
        <v>2072</v>
      </c>
      <c r="O220">
        <v>3.2</v>
      </c>
      <c r="P220" t="b">
        <v>1</v>
      </c>
      <c r="Q220" t="s">
        <v>2076</v>
      </c>
      <c r="R220">
        <v>0.77</v>
      </c>
      <c r="S220" s="2">
        <v>0.77</v>
      </c>
      <c r="T220" s="2" t="str">
        <f t="shared" si="11"/>
        <v>71% to 80%</v>
      </c>
    </row>
    <row r="221" spans="1:21" x14ac:dyDescent="0.3">
      <c r="A221" t="s">
        <v>506</v>
      </c>
      <c r="B221" t="s">
        <v>507</v>
      </c>
      <c r="C221" t="s">
        <v>36</v>
      </c>
      <c r="D221" t="s">
        <v>20</v>
      </c>
      <c r="E221">
        <v>55</v>
      </c>
      <c r="F221" t="str">
        <f t="shared" si="9"/>
        <v>51 to 60</v>
      </c>
      <c r="G221" t="s">
        <v>91</v>
      </c>
      <c r="H221" t="s">
        <v>59</v>
      </c>
      <c r="I221" t="s">
        <v>60</v>
      </c>
      <c r="J221">
        <v>24</v>
      </c>
      <c r="K221" t="str">
        <f t="shared" si="10"/>
        <v>21 to 30</v>
      </c>
      <c r="L221" s="1">
        <v>40</v>
      </c>
      <c r="M221" t="s">
        <v>2067</v>
      </c>
      <c r="O221">
        <v>2</v>
      </c>
      <c r="P221">
        <v>1</v>
      </c>
      <c r="Q221" t="s">
        <v>2076</v>
      </c>
      <c r="R221">
        <v>88</v>
      </c>
      <c r="S221" s="2">
        <v>0.88</v>
      </c>
      <c r="T221" s="2" t="str">
        <f t="shared" si="11"/>
        <v>81% to 90%</v>
      </c>
      <c r="U221">
        <v>0.88</v>
      </c>
    </row>
    <row r="222" spans="1:21" x14ac:dyDescent="0.3">
      <c r="A222" t="s">
        <v>508</v>
      </c>
      <c r="B222" t="s">
        <v>509</v>
      </c>
      <c r="C222" t="s">
        <v>15</v>
      </c>
      <c r="D222" t="s">
        <v>20</v>
      </c>
      <c r="E222">
        <v>52</v>
      </c>
      <c r="F222" t="str">
        <f t="shared" si="9"/>
        <v>51 to 60</v>
      </c>
      <c r="G222" t="s">
        <v>50</v>
      </c>
      <c r="H222" t="s">
        <v>51</v>
      </c>
      <c r="I222" t="s">
        <v>18</v>
      </c>
      <c r="J222">
        <v>15</v>
      </c>
      <c r="K222" t="str">
        <f t="shared" si="10"/>
        <v>11 to 20</v>
      </c>
      <c r="L222" s="1">
        <v>40</v>
      </c>
      <c r="M222" t="s">
        <v>2065</v>
      </c>
      <c r="N222" t="s">
        <v>2067</v>
      </c>
      <c r="O222">
        <v>0</v>
      </c>
      <c r="P222">
        <v>1</v>
      </c>
      <c r="Q222" t="s">
        <v>2076</v>
      </c>
      <c r="R222">
        <v>0.92</v>
      </c>
      <c r="S222" s="2">
        <v>0.92</v>
      </c>
      <c r="T222" s="2" t="str">
        <f t="shared" si="11"/>
        <v>91% to 100%</v>
      </c>
    </row>
    <row r="223" spans="1:21" x14ac:dyDescent="0.3">
      <c r="A223" t="s">
        <v>510</v>
      </c>
      <c r="B223" t="s">
        <v>511</v>
      </c>
      <c r="C223" t="s">
        <v>15</v>
      </c>
      <c r="D223" t="s">
        <v>20</v>
      </c>
      <c r="E223">
        <v>57</v>
      </c>
      <c r="F223" t="str">
        <f t="shared" si="9"/>
        <v>51 to 60</v>
      </c>
      <c r="G223" t="s">
        <v>31</v>
      </c>
      <c r="H223" t="s">
        <v>32</v>
      </c>
      <c r="I223" t="s">
        <v>79</v>
      </c>
      <c r="J223">
        <v>26</v>
      </c>
      <c r="K223" t="str">
        <f t="shared" si="10"/>
        <v>21 to 30</v>
      </c>
      <c r="L223" s="1">
        <v>100</v>
      </c>
      <c r="M223" t="s">
        <v>2068</v>
      </c>
      <c r="N223" t="s">
        <v>2070</v>
      </c>
      <c r="O223">
        <v>2.4</v>
      </c>
      <c r="P223">
        <v>1</v>
      </c>
      <c r="Q223" t="s">
        <v>2076</v>
      </c>
      <c r="R223">
        <v>0.78</v>
      </c>
      <c r="S223" s="2">
        <v>0.78</v>
      </c>
      <c r="T223" s="2" t="str">
        <f t="shared" si="11"/>
        <v>71% to 80%</v>
      </c>
    </row>
    <row r="224" spans="1:21" x14ac:dyDescent="0.3">
      <c r="A224" t="s">
        <v>512</v>
      </c>
      <c r="B224" t="s">
        <v>513</v>
      </c>
      <c r="C224" t="s">
        <v>36</v>
      </c>
      <c r="D224" t="s">
        <v>20</v>
      </c>
      <c r="E224">
        <v>44</v>
      </c>
      <c r="F224" t="str">
        <f t="shared" si="9"/>
        <v>41 to 50</v>
      </c>
      <c r="G224" t="s">
        <v>23</v>
      </c>
      <c r="H224" t="s">
        <v>24</v>
      </c>
      <c r="I224" t="s">
        <v>63</v>
      </c>
      <c r="J224">
        <v>4</v>
      </c>
      <c r="K224" t="str">
        <f t="shared" si="10"/>
        <v>0 to 10</v>
      </c>
      <c r="L224" s="1">
        <v>30</v>
      </c>
      <c r="M224" t="s">
        <v>2068</v>
      </c>
      <c r="N224" t="s">
        <v>2069</v>
      </c>
      <c r="O224">
        <v>0</v>
      </c>
      <c r="P224" t="s">
        <v>53</v>
      </c>
      <c r="Q224" t="s">
        <v>2077</v>
      </c>
      <c r="R224">
        <v>0.8</v>
      </c>
      <c r="S224" s="2">
        <v>0.8</v>
      </c>
      <c r="T224" s="2" t="str">
        <f t="shared" si="11"/>
        <v>71% to 80%</v>
      </c>
    </row>
    <row r="225" spans="1:21" x14ac:dyDescent="0.3">
      <c r="A225" t="s">
        <v>514</v>
      </c>
      <c r="B225" t="s">
        <v>515</v>
      </c>
      <c r="C225" t="s">
        <v>36</v>
      </c>
      <c r="D225" t="s">
        <v>20</v>
      </c>
      <c r="E225">
        <v>24</v>
      </c>
      <c r="F225" t="str">
        <f t="shared" si="9"/>
        <v>21 to 30</v>
      </c>
      <c r="G225" t="s">
        <v>87</v>
      </c>
      <c r="H225" t="s">
        <v>88</v>
      </c>
      <c r="I225" t="s">
        <v>66</v>
      </c>
      <c r="J225">
        <v>6</v>
      </c>
      <c r="K225" t="str">
        <f t="shared" si="10"/>
        <v>0 to 10</v>
      </c>
      <c r="L225" s="1">
        <v>75</v>
      </c>
      <c r="M225" t="s">
        <v>2065</v>
      </c>
      <c r="N225" t="s">
        <v>2066</v>
      </c>
      <c r="O225">
        <v>4.3</v>
      </c>
      <c r="P225" t="s">
        <v>19</v>
      </c>
      <c r="Q225" t="s">
        <v>2076</v>
      </c>
      <c r="T225" s="2" t="str">
        <f t="shared" si="11"/>
        <v/>
      </c>
    </row>
    <row r="226" spans="1:21" x14ac:dyDescent="0.3">
      <c r="A226" t="s">
        <v>516</v>
      </c>
      <c r="B226" t="s">
        <v>517</v>
      </c>
      <c r="C226" t="s">
        <v>15</v>
      </c>
      <c r="D226" t="s">
        <v>20</v>
      </c>
      <c r="E226">
        <v>26</v>
      </c>
      <c r="F226" t="str">
        <f t="shared" si="9"/>
        <v>21 to 30</v>
      </c>
      <c r="G226" t="s">
        <v>87</v>
      </c>
      <c r="H226" t="s">
        <v>88</v>
      </c>
      <c r="I226" t="s">
        <v>47</v>
      </c>
      <c r="K226" t="str">
        <f t="shared" si="10"/>
        <v/>
      </c>
      <c r="L226" s="1">
        <v>50</v>
      </c>
      <c r="M226" t="s">
        <v>2071</v>
      </c>
      <c r="O226">
        <v>0</v>
      </c>
      <c r="P226" t="s">
        <v>19</v>
      </c>
      <c r="Q226" t="s">
        <v>2076</v>
      </c>
      <c r="R226">
        <v>81</v>
      </c>
      <c r="S226" s="2">
        <v>0.81</v>
      </c>
      <c r="T226" s="2" t="str">
        <f t="shared" si="11"/>
        <v>81% to 90%</v>
      </c>
      <c r="U226">
        <v>0.81</v>
      </c>
    </row>
    <row r="227" spans="1:21" x14ac:dyDescent="0.3">
      <c r="A227" t="s">
        <v>518</v>
      </c>
      <c r="B227" t="s">
        <v>519</v>
      </c>
      <c r="C227" t="s">
        <v>111</v>
      </c>
      <c r="D227" t="s">
        <v>80</v>
      </c>
      <c r="E227">
        <v>43</v>
      </c>
      <c r="F227" t="str">
        <f t="shared" si="9"/>
        <v>41 to 50</v>
      </c>
      <c r="G227" t="s">
        <v>158</v>
      </c>
      <c r="H227" t="s">
        <v>159</v>
      </c>
      <c r="I227" t="s">
        <v>108</v>
      </c>
      <c r="J227">
        <v>15</v>
      </c>
      <c r="K227" t="str">
        <f t="shared" si="10"/>
        <v>11 to 20</v>
      </c>
      <c r="L227" s="1">
        <v>20</v>
      </c>
      <c r="M227" t="s">
        <v>2065</v>
      </c>
      <c r="N227" t="s">
        <v>2072</v>
      </c>
      <c r="O227">
        <v>4.2</v>
      </c>
      <c r="P227" t="b">
        <v>1</v>
      </c>
      <c r="Q227" t="s">
        <v>2076</v>
      </c>
      <c r="R227">
        <v>0.91</v>
      </c>
      <c r="S227" s="2">
        <v>0.91</v>
      </c>
      <c r="T227" s="2" t="str">
        <f t="shared" si="11"/>
        <v>91% to 100%</v>
      </c>
    </row>
    <row r="228" spans="1:21" x14ac:dyDescent="0.3">
      <c r="A228" t="s">
        <v>520</v>
      </c>
      <c r="B228" t="s">
        <v>521</v>
      </c>
      <c r="C228" t="s">
        <v>111</v>
      </c>
      <c r="D228" t="s">
        <v>80</v>
      </c>
      <c r="E228">
        <v>44</v>
      </c>
      <c r="F228" t="str">
        <f t="shared" si="9"/>
        <v>41 to 50</v>
      </c>
      <c r="G228" t="s">
        <v>139</v>
      </c>
      <c r="H228" t="s">
        <v>59</v>
      </c>
      <c r="I228" t="s">
        <v>52</v>
      </c>
      <c r="J228">
        <v>3</v>
      </c>
      <c r="K228" t="str">
        <f t="shared" si="10"/>
        <v>0 to 10</v>
      </c>
      <c r="L228" s="1">
        <v>50</v>
      </c>
      <c r="M228" t="s">
        <v>2065</v>
      </c>
      <c r="N228" t="s">
        <v>2071</v>
      </c>
      <c r="O228">
        <v>2.2000000000000002</v>
      </c>
      <c r="P228">
        <v>0</v>
      </c>
      <c r="Q228" t="s">
        <v>2077</v>
      </c>
      <c r="R228">
        <v>0.77</v>
      </c>
      <c r="S228" s="2">
        <v>0.77</v>
      </c>
      <c r="T228" s="2" t="str">
        <f t="shared" si="11"/>
        <v>71% to 80%</v>
      </c>
    </row>
    <row r="229" spans="1:21" x14ac:dyDescent="0.3">
      <c r="A229" t="s">
        <v>522</v>
      </c>
      <c r="B229" t="s">
        <v>523</v>
      </c>
      <c r="C229" t="s">
        <v>76</v>
      </c>
      <c r="D229" t="s">
        <v>80</v>
      </c>
      <c r="E229">
        <v>51</v>
      </c>
      <c r="F229" t="str">
        <f t="shared" si="9"/>
        <v>51 to 60</v>
      </c>
      <c r="G229" t="s">
        <v>31</v>
      </c>
      <c r="H229" t="s">
        <v>32</v>
      </c>
      <c r="I229" t="s">
        <v>79</v>
      </c>
      <c r="J229">
        <v>1</v>
      </c>
      <c r="K229" t="str">
        <f t="shared" si="10"/>
        <v>0 to 10</v>
      </c>
      <c r="L229" s="1">
        <v>50</v>
      </c>
      <c r="M229" t="s">
        <v>2065</v>
      </c>
      <c r="N229" t="s">
        <v>2071</v>
      </c>
      <c r="O229">
        <v>0</v>
      </c>
      <c r="P229" t="s">
        <v>96</v>
      </c>
      <c r="Q229" t="s">
        <v>2076</v>
      </c>
      <c r="R229">
        <v>0.97</v>
      </c>
      <c r="S229" s="2">
        <v>0.97</v>
      </c>
      <c r="T229" s="2" t="str">
        <f t="shared" si="11"/>
        <v>91% to 100%</v>
      </c>
    </row>
    <row r="230" spans="1:21" x14ac:dyDescent="0.3">
      <c r="A230" t="s">
        <v>524</v>
      </c>
      <c r="B230" t="s">
        <v>525</v>
      </c>
      <c r="C230" t="s">
        <v>76</v>
      </c>
      <c r="D230" t="s">
        <v>80</v>
      </c>
      <c r="E230">
        <v>55</v>
      </c>
      <c r="F230" t="str">
        <f t="shared" si="9"/>
        <v>51 to 60</v>
      </c>
      <c r="G230" t="s">
        <v>50</v>
      </c>
      <c r="H230" t="s">
        <v>51</v>
      </c>
      <c r="I230" t="s">
        <v>33</v>
      </c>
      <c r="J230">
        <v>17</v>
      </c>
      <c r="K230" t="str">
        <f t="shared" si="10"/>
        <v>11 to 20</v>
      </c>
      <c r="L230" s="1">
        <v>30</v>
      </c>
      <c r="M230" t="s">
        <v>2069</v>
      </c>
      <c r="T230" s="2" t="str">
        <f t="shared" si="11"/>
        <v/>
      </c>
    </row>
    <row r="231" spans="1:21" x14ac:dyDescent="0.3">
      <c r="A231" t="s">
        <v>526</v>
      </c>
      <c r="B231" t="s">
        <v>527</v>
      </c>
      <c r="C231" t="s">
        <v>111</v>
      </c>
      <c r="D231" t="s">
        <v>80</v>
      </c>
      <c r="E231">
        <v>25</v>
      </c>
      <c r="F231" t="str">
        <f t="shared" si="9"/>
        <v>21 to 30</v>
      </c>
      <c r="G231" t="s">
        <v>27</v>
      </c>
      <c r="H231" t="s">
        <v>28</v>
      </c>
      <c r="I231" t="s">
        <v>66</v>
      </c>
      <c r="J231">
        <v>7</v>
      </c>
      <c r="K231" t="str">
        <f t="shared" si="10"/>
        <v>0 to 10</v>
      </c>
      <c r="L231" s="1">
        <v>100</v>
      </c>
      <c r="M231" t="s">
        <v>2068</v>
      </c>
      <c r="N231" t="s">
        <v>2070</v>
      </c>
      <c r="O231">
        <v>1.9</v>
      </c>
      <c r="P231" t="b">
        <v>0</v>
      </c>
      <c r="Q231" t="s">
        <v>2077</v>
      </c>
      <c r="R231">
        <v>0.63</v>
      </c>
      <c r="S231" s="2">
        <v>0.63</v>
      </c>
      <c r="T231" s="2" t="str">
        <f t="shared" si="11"/>
        <v>61% to 70 %</v>
      </c>
    </row>
    <row r="232" spans="1:21" x14ac:dyDescent="0.3">
      <c r="A232" t="s">
        <v>528</v>
      </c>
      <c r="B232" t="s">
        <v>529</v>
      </c>
      <c r="C232" t="s">
        <v>36</v>
      </c>
      <c r="D232" t="s">
        <v>20</v>
      </c>
      <c r="F232" t="str">
        <f t="shared" si="9"/>
        <v/>
      </c>
      <c r="G232" t="s">
        <v>23</v>
      </c>
      <c r="H232" t="s">
        <v>24</v>
      </c>
      <c r="I232" t="s">
        <v>47</v>
      </c>
      <c r="J232">
        <v>12</v>
      </c>
      <c r="K232" t="str">
        <f t="shared" si="10"/>
        <v>11 to 20</v>
      </c>
      <c r="L232" s="1">
        <v>20</v>
      </c>
      <c r="M232" t="s">
        <v>2065</v>
      </c>
      <c r="N232" t="s">
        <v>2072</v>
      </c>
      <c r="O232">
        <v>0</v>
      </c>
      <c r="P232" t="b">
        <v>1</v>
      </c>
      <c r="Q232" t="s">
        <v>2076</v>
      </c>
      <c r="R232">
        <v>0.8</v>
      </c>
      <c r="S232" s="2">
        <v>0.8</v>
      </c>
      <c r="T232" s="2" t="str">
        <f t="shared" si="11"/>
        <v>71% to 80%</v>
      </c>
    </row>
    <row r="233" spans="1:21" x14ac:dyDescent="0.3">
      <c r="A233" t="s">
        <v>530</v>
      </c>
      <c r="B233" t="s">
        <v>531</v>
      </c>
      <c r="C233" t="s">
        <v>15</v>
      </c>
      <c r="D233" t="s">
        <v>20</v>
      </c>
      <c r="E233">
        <v>20</v>
      </c>
      <c r="F233" t="str">
        <f t="shared" si="9"/>
        <v>11 to 20</v>
      </c>
      <c r="G233" t="s">
        <v>37</v>
      </c>
      <c r="H233" t="s">
        <v>38</v>
      </c>
      <c r="I233" t="s">
        <v>33</v>
      </c>
      <c r="J233">
        <v>1</v>
      </c>
      <c r="K233" t="str">
        <f t="shared" si="10"/>
        <v>0 to 10</v>
      </c>
      <c r="L233" s="1">
        <v>50</v>
      </c>
      <c r="M233" t="s">
        <v>2071</v>
      </c>
      <c r="O233">
        <v>2.9</v>
      </c>
      <c r="P233" t="s">
        <v>67</v>
      </c>
      <c r="Q233" t="s">
        <v>2077</v>
      </c>
      <c r="R233">
        <v>0.81</v>
      </c>
      <c r="S233" s="2">
        <v>0.81</v>
      </c>
      <c r="T233" s="2" t="str">
        <f t="shared" si="11"/>
        <v>81% to 90%</v>
      </c>
    </row>
    <row r="234" spans="1:21" x14ac:dyDescent="0.3">
      <c r="A234" t="s">
        <v>532</v>
      </c>
      <c r="B234" t="s">
        <v>533</v>
      </c>
      <c r="C234" t="s">
        <v>15</v>
      </c>
      <c r="D234" t="s">
        <v>20</v>
      </c>
      <c r="E234">
        <v>60</v>
      </c>
      <c r="F234" t="str">
        <f t="shared" si="9"/>
        <v>51 to 60</v>
      </c>
      <c r="G234" t="s">
        <v>91</v>
      </c>
      <c r="H234" t="s">
        <v>59</v>
      </c>
      <c r="I234" t="s">
        <v>47</v>
      </c>
      <c r="J234">
        <v>3</v>
      </c>
      <c r="K234" t="str">
        <f t="shared" si="10"/>
        <v>0 to 10</v>
      </c>
      <c r="L234" s="1">
        <v>40</v>
      </c>
      <c r="M234" t="s">
        <v>2067</v>
      </c>
      <c r="O234">
        <v>4.7</v>
      </c>
      <c r="P234" t="b">
        <v>0</v>
      </c>
      <c r="Q234" t="s">
        <v>2077</v>
      </c>
      <c r="R234">
        <v>0.63</v>
      </c>
      <c r="S234" s="2">
        <v>0.63</v>
      </c>
      <c r="T234" s="2" t="str">
        <f t="shared" si="11"/>
        <v>61% to 70 %</v>
      </c>
    </row>
    <row r="235" spans="1:21" x14ac:dyDescent="0.3">
      <c r="A235" t="s">
        <v>534</v>
      </c>
      <c r="B235" t="s">
        <v>535</v>
      </c>
      <c r="C235" t="s">
        <v>15</v>
      </c>
      <c r="D235" t="s">
        <v>20</v>
      </c>
      <c r="E235">
        <v>26</v>
      </c>
      <c r="F235" t="str">
        <f t="shared" si="9"/>
        <v>21 to 30</v>
      </c>
      <c r="G235" t="s">
        <v>23</v>
      </c>
      <c r="H235" t="s">
        <v>24</v>
      </c>
      <c r="I235" t="s">
        <v>18</v>
      </c>
      <c r="J235">
        <v>7</v>
      </c>
      <c r="K235" t="str">
        <f t="shared" si="10"/>
        <v>0 to 10</v>
      </c>
      <c r="L235" s="1">
        <v>75</v>
      </c>
      <c r="M235" t="s">
        <v>2066</v>
      </c>
      <c r="O235">
        <v>3</v>
      </c>
      <c r="R235">
        <v>0.84</v>
      </c>
      <c r="S235" s="2">
        <v>0.84</v>
      </c>
      <c r="T235" s="2" t="str">
        <f t="shared" si="11"/>
        <v>81% to 90%</v>
      </c>
    </row>
    <row r="236" spans="1:21" x14ac:dyDescent="0.3">
      <c r="A236" t="s">
        <v>536</v>
      </c>
      <c r="B236" t="s">
        <v>537</v>
      </c>
      <c r="C236" t="s">
        <v>15</v>
      </c>
      <c r="D236" t="s">
        <v>20</v>
      </c>
      <c r="F236" t="str">
        <f t="shared" si="9"/>
        <v/>
      </c>
      <c r="G236" t="s">
        <v>16</v>
      </c>
      <c r="H236" t="s">
        <v>17</v>
      </c>
      <c r="I236" t="s">
        <v>18</v>
      </c>
      <c r="J236">
        <v>1</v>
      </c>
      <c r="K236" t="str">
        <f t="shared" si="10"/>
        <v>0 to 10</v>
      </c>
      <c r="L236" s="1">
        <v>50</v>
      </c>
      <c r="M236" t="s">
        <v>2068</v>
      </c>
      <c r="N236" t="s">
        <v>2071</v>
      </c>
      <c r="O236">
        <v>2.8</v>
      </c>
      <c r="P236" t="s">
        <v>67</v>
      </c>
      <c r="Q236" t="s">
        <v>2077</v>
      </c>
      <c r="R236">
        <v>0.87</v>
      </c>
      <c r="S236" s="2">
        <v>0.87</v>
      </c>
      <c r="T236" s="2" t="str">
        <f t="shared" si="11"/>
        <v>81% to 90%</v>
      </c>
    </row>
    <row r="237" spans="1:21" x14ac:dyDescent="0.3">
      <c r="A237" t="s">
        <v>538</v>
      </c>
      <c r="B237" t="s">
        <v>539</v>
      </c>
      <c r="C237" t="s">
        <v>36</v>
      </c>
      <c r="D237" t="s">
        <v>20</v>
      </c>
      <c r="E237">
        <v>24</v>
      </c>
      <c r="F237" t="str">
        <f t="shared" si="9"/>
        <v>21 to 30</v>
      </c>
      <c r="G237" t="s">
        <v>139</v>
      </c>
      <c r="H237" t="s">
        <v>59</v>
      </c>
      <c r="I237" t="s">
        <v>63</v>
      </c>
      <c r="J237">
        <v>6</v>
      </c>
      <c r="K237" t="str">
        <f t="shared" si="10"/>
        <v>0 to 10</v>
      </c>
      <c r="L237" s="1">
        <v>30</v>
      </c>
      <c r="M237" t="s">
        <v>2068</v>
      </c>
      <c r="N237" t="s">
        <v>2069</v>
      </c>
      <c r="O237">
        <v>4.5999999999999996</v>
      </c>
      <c r="P237">
        <v>1</v>
      </c>
      <c r="Q237" t="s">
        <v>2076</v>
      </c>
      <c r="R237">
        <v>0.93</v>
      </c>
      <c r="S237" s="2">
        <v>0.93</v>
      </c>
      <c r="T237" s="2" t="str">
        <f t="shared" si="11"/>
        <v>91% to 100%</v>
      </c>
    </row>
    <row r="238" spans="1:21" x14ac:dyDescent="0.3">
      <c r="A238" t="s">
        <v>540</v>
      </c>
      <c r="B238" t="s">
        <v>541</v>
      </c>
      <c r="C238" t="s">
        <v>36</v>
      </c>
      <c r="D238" t="s">
        <v>20</v>
      </c>
      <c r="E238">
        <v>50</v>
      </c>
      <c r="F238" t="str">
        <f t="shared" si="9"/>
        <v>41 to 50</v>
      </c>
      <c r="G238" t="s">
        <v>77</v>
      </c>
      <c r="H238" t="s">
        <v>78</v>
      </c>
      <c r="I238" t="s">
        <v>33</v>
      </c>
      <c r="J238">
        <v>3</v>
      </c>
      <c r="K238" t="str">
        <f t="shared" si="10"/>
        <v>0 to 10</v>
      </c>
      <c r="L238" s="1">
        <v>100</v>
      </c>
      <c r="M238" t="s">
        <v>2070</v>
      </c>
      <c r="O238">
        <v>0</v>
      </c>
      <c r="P238" t="s">
        <v>96</v>
      </c>
      <c r="Q238" t="s">
        <v>2076</v>
      </c>
      <c r="T238" s="2" t="str">
        <f t="shared" si="11"/>
        <v/>
      </c>
    </row>
    <row r="239" spans="1:21" x14ac:dyDescent="0.3">
      <c r="A239" t="s">
        <v>542</v>
      </c>
      <c r="B239" t="s">
        <v>543</v>
      </c>
      <c r="C239" t="s">
        <v>36</v>
      </c>
      <c r="D239" t="s">
        <v>20</v>
      </c>
      <c r="E239">
        <v>34</v>
      </c>
      <c r="F239" t="str">
        <f t="shared" si="9"/>
        <v>31 to 40</v>
      </c>
      <c r="G239" t="s">
        <v>42</v>
      </c>
      <c r="H239" t="s">
        <v>43</v>
      </c>
      <c r="I239" t="s">
        <v>52</v>
      </c>
      <c r="J239">
        <v>1</v>
      </c>
      <c r="K239" t="str">
        <f t="shared" si="10"/>
        <v>0 to 10</v>
      </c>
      <c r="L239" s="1">
        <v>30</v>
      </c>
      <c r="M239" t="s">
        <v>2069</v>
      </c>
      <c r="O239">
        <v>3.6</v>
      </c>
      <c r="P239">
        <v>1</v>
      </c>
      <c r="Q239" t="s">
        <v>2076</v>
      </c>
      <c r="R239">
        <v>0.87</v>
      </c>
      <c r="S239" s="2">
        <v>0.87</v>
      </c>
      <c r="T239" s="2" t="str">
        <f t="shared" si="11"/>
        <v>81% to 90%</v>
      </c>
    </row>
    <row r="240" spans="1:21" x14ac:dyDescent="0.3">
      <c r="A240" t="s">
        <v>544</v>
      </c>
      <c r="B240" t="s">
        <v>545</v>
      </c>
      <c r="C240" t="s">
        <v>36</v>
      </c>
      <c r="D240" t="s">
        <v>20</v>
      </c>
      <c r="E240">
        <v>26</v>
      </c>
      <c r="F240" t="str">
        <f t="shared" si="9"/>
        <v>21 to 30</v>
      </c>
      <c r="G240" t="s">
        <v>118</v>
      </c>
      <c r="H240" t="s">
        <v>119</v>
      </c>
      <c r="I240" t="s">
        <v>60</v>
      </c>
      <c r="J240">
        <v>8</v>
      </c>
      <c r="K240" t="str">
        <f t="shared" si="10"/>
        <v>0 to 10</v>
      </c>
      <c r="L240" s="1">
        <v>20</v>
      </c>
      <c r="M240" t="s">
        <v>2072</v>
      </c>
      <c r="O240">
        <v>3.6</v>
      </c>
      <c r="P240">
        <v>0</v>
      </c>
      <c r="Q240" t="s">
        <v>2077</v>
      </c>
      <c r="R240">
        <v>0.67</v>
      </c>
      <c r="S240" s="2">
        <v>0.67</v>
      </c>
      <c r="T240" s="2" t="str">
        <f t="shared" si="11"/>
        <v>61% to 70 %</v>
      </c>
    </row>
    <row r="241" spans="1:21" x14ac:dyDescent="0.3">
      <c r="A241" t="s">
        <v>546</v>
      </c>
      <c r="B241" t="s">
        <v>547</v>
      </c>
      <c r="C241" t="s">
        <v>15</v>
      </c>
      <c r="D241" t="s">
        <v>20</v>
      </c>
      <c r="F241" t="str">
        <f t="shared" si="9"/>
        <v/>
      </c>
      <c r="G241" t="s">
        <v>50</v>
      </c>
      <c r="H241" t="s">
        <v>51</v>
      </c>
      <c r="I241" t="s">
        <v>108</v>
      </c>
      <c r="J241">
        <v>12</v>
      </c>
      <c r="K241" t="str">
        <f t="shared" si="10"/>
        <v>11 to 20</v>
      </c>
      <c r="L241" s="1">
        <v>30</v>
      </c>
      <c r="M241" t="s">
        <v>2069</v>
      </c>
      <c r="O241">
        <v>2.6</v>
      </c>
      <c r="P241" t="s">
        <v>96</v>
      </c>
      <c r="Q241" t="s">
        <v>2076</v>
      </c>
      <c r="T241" s="2" t="str">
        <f t="shared" si="11"/>
        <v/>
      </c>
    </row>
    <row r="242" spans="1:21" x14ac:dyDescent="0.3">
      <c r="A242" t="s">
        <v>548</v>
      </c>
      <c r="B242" t="s">
        <v>549</v>
      </c>
      <c r="C242" t="s">
        <v>15</v>
      </c>
      <c r="D242" t="s">
        <v>20</v>
      </c>
      <c r="E242">
        <v>44</v>
      </c>
      <c r="F242" t="str">
        <f t="shared" si="9"/>
        <v>41 to 50</v>
      </c>
      <c r="G242" t="s">
        <v>42</v>
      </c>
      <c r="H242" t="s">
        <v>43</v>
      </c>
      <c r="I242" t="s">
        <v>47</v>
      </c>
      <c r="J242">
        <v>9</v>
      </c>
      <c r="K242" t="str">
        <f t="shared" si="10"/>
        <v>0 to 10</v>
      </c>
      <c r="L242" s="1">
        <v>40</v>
      </c>
      <c r="M242" t="s">
        <v>2067</v>
      </c>
      <c r="P242">
        <v>0</v>
      </c>
      <c r="Q242" t="s">
        <v>2077</v>
      </c>
      <c r="R242">
        <v>0.7</v>
      </c>
      <c r="S242" s="2">
        <v>0.7</v>
      </c>
      <c r="T242" s="2" t="str">
        <f t="shared" si="11"/>
        <v>61% to 70 %</v>
      </c>
    </row>
    <row r="243" spans="1:21" x14ac:dyDescent="0.3">
      <c r="A243" t="s">
        <v>550</v>
      </c>
      <c r="B243" t="s">
        <v>551</v>
      </c>
      <c r="C243" t="s">
        <v>15</v>
      </c>
      <c r="D243" t="s">
        <v>20</v>
      </c>
      <c r="E243">
        <v>52</v>
      </c>
      <c r="F243" t="str">
        <f t="shared" si="9"/>
        <v>51 to 60</v>
      </c>
      <c r="G243" t="s">
        <v>158</v>
      </c>
      <c r="H243" t="s">
        <v>159</v>
      </c>
      <c r="I243" t="s">
        <v>63</v>
      </c>
      <c r="J243">
        <v>4</v>
      </c>
      <c r="K243" t="str">
        <f t="shared" si="10"/>
        <v>0 to 10</v>
      </c>
      <c r="L243" s="1">
        <v>75</v>
      </c>
      <c r="M243" t="s">
        <v>2066</v>
      </c>
      <c r="O243">
        <v>2.2999999999999998</v>
      </c>
      <c r="P243">
        <v>1</v>
      </c>
      <c r="Q243" t="s">
        <v>2076</v>
      </c>
      <c r="R243">
        <v>0.79</v>
      </c>
      <c r="S243" s="2">
        <v>0.79</v>
      </c>
      <c r="T243" s="2" t="str">
        <f t="shared" si="11"/>
        <v>71% to 80%</v>
      </c>
    </row>
    <row r="244" spans="1:21" x14ac:dyDescent="0.3">
      <c r="A244" t="s">
        <v>552</v>
      </c>
      <c r="B244" t="s">
        <v>553</v>
      </c>
      <c r="C244" t="s">
        <v>15</v>
      </c>
      <c r="D244" t="s">
        <v>20</v>
      </c>
      <c r="E244">
        <v>42</v>
      </c>
      <c r="F244" t="str">
        <f t="shared" si="9"/>
        <v>41 to 50</v>
      </c>
      <c r="G244" t="s">
        <v>155</v>
      </c>
      <c r="H244" t="s">
        <v>17</v>
      </c>
      <c r="I244" t="s">
        <v>47</v>
      </c>
      <c r="J244">
        <v>8</v>
      </c>
      <c r="K244" t="str">
        <f t="shared" si="10"/>
        <v>0 to 10</v>
      </c>
      <c r="L244" s="1">
        <v>50</v>
      </c>
      <c r="M244" t="s">
        <v>2065</v>
      </c>
      <c r="N244" t="s">
        <v>2071</v>
      </c>
      <c r="O244">
        <v>2.4</v>
      </c>
      <c r="P244" t="s">
        <v>67</v>
      </c>
      <c r="Q244" t="s">
        <v>2077</v>
      </c>
      <c r="R244">
        <v>0.68</v>
      </c>
      <c r="S244" s="2">
        <v>0.68</v>
      </c>
      <c r="T244" s="2" t="str">
        <f t="shared" si="11"/>
        <v>61% to 70 %</v>
      </c>
    </row>
    <row r="245" spans="1:21" x14ac:dyDescent="0.3">
      <c r="A245" t="s">
        <v>554</v>
      </c>
      <c r="B245" t="s">
        <v>555</v>
      </c>
      <c r="C245" t="s">
        <v>15</v>
      </c>
      <c r="D245" t="s">
        <v>20</v>
      </c>
      <c r="E245">
        <v>37</v>
      </c>
      <c r="F245" t="str">
        <f t="shared" si="9"/>
        <v>31 to 40</v>
      </c>
      <c r="G245" t="s">
        <v>139</v>
      </c>
      <c r="H245" t="s">
        <v>59</v>
      </c>
      <c r="I245" t="s">
        <v>18</v>
      </c>
      <c r="J245">
        <v>17</v>
      </c>
      <c r="K245" t="str">
        <f t="shared" si="10"/>
        <v>11 to 20</v>
      </c>
      <c r="L245" s="1">
        <v>20</v>
      </c>
      <c r="M245" t="s">
        <v>2072</v>
      </c>
      <c r="O245">
        <v>3.3</v>
      </c>
      <c r="P245">
        <v>0</v>
      </c>
      <c r="Q245" t="s">
        <v>2077</v>
      </c>
      <c r="R245">
        <v>96</v>
      </c>
      <c r="S245" s="2">
        <v>0.96</v>
      </c>
      <c r="T245" s="2" t="str">
        <f t="shared" si="11"/>
        <v>91% to 100%</v>
      </c>
      <c r="U245">
        <v>0.96</v>
      </c>
    </row>
    <row r="246" spans="1:21" x14ac:dyDescent="0.3">
      <c r="A246" t="s">
        <v>556</v>
      </c>
      <c r="B246" t="s">
        <v>557</v>
      </c>
      <c r="C246" t="s">
        <v>36</v>
      </c>
      <c r="D246" t="s">
        <v>20</v>
      </c>
      <c r="E246">
        <v>45</v>
      </c>
      <c r="F246" t="str">
        <f t="shared" si="9"/>
        <v>41 to 50</v>
      </c>
      <c r="G246" t="s">
        <v>104</v>
      </c>
      <c r="H246" t="s">
        <v>105</v>
      </c>
      <c r="I246" t="s">
        <v>60</v>
      </c>
      <c r="J246">
        <v>4</v>
      </c>
      <c r="K246" t="str">
        <f t="shared" si="10"/>
        <v>0 to 10</v>
      </c>
      <c r="L246" s="1">
        <v>20</v>
      </c>
      <c r="M246" t="s">
        <v>2065</v>
      </c>
      <c r="N246" t="s">
        <v>2072</v>
      </c>
      <c r="O246">
        <v>2.7</v>
      </c>
      <c r="R246">
        <v>0.72</v>
      </c>
      <c r="S246" s="2">
        <v>0.72</v>
      </c>
      <c r="T246" s="2" t="str">
        <f t="shared" si="11"/>
        <v>71% to 80%</v>
      </c>
    </row>
    <row r="247" spans="1:21" x14ac:dyDescent="0.3">
      <c r="A247" t="s">
        <v>558</v>
      </c>
      <c r="B247" t="s">
        <v>559</v>
      </c>
      <c r="C247" t="s">
        <v>36</v>
      </c>
      <c r="D247" t="s">
        <v>20</v>
      </c>
      <c r="E247">
        <v>42</v>
      </c>
      <c r="F247" t="str">
        <f t="shared" si="9"/>
        <v>41 to 50</v>
      </c>
      <c r="G247" t="s">
        <v>31</v>
      </c>
      <c r="H247" t="s">
        <v>32</v>
      </c>
      <c r="I247" t="s">
        <v>63</v>
      </c>
      <c r="J247">
        <v>13</v>
      </c>
      <c r="K247" t="str">
        <f t="shared" si="10"/>
        <v>11 to 20</v>
      </c>
      <c r="L247" s="1">
        <v>20</v>
      </c>
      <c r="M247" t="s">
        <v>2065</v>
      </c>
      <c r="N247" t="s">
        <v>2072</v>
      </c>
      <c r="O247">
        <v>4.7</v>
      </c>
      <c r="P247" t="s">
        <v>53</v>
      </c>
      <c r="Q247" t="s">
        <v>2077</v>
      </c>
      <c r="R247">
        <v>0.85</v>
      </c>
      <c r="S247" s="2">
        <v>0.85</v>
      </c>
      <c r="T247" s="2" t="str">
        <f t="shared" si="11"/>
        <v>81% to 90%</v>
      </c>
    </row>
    <row r="248" spans="1:21" x14ac:dyDescent="0.3">
      <c r="A248" t="s">
        <v>560</v>
      </c>
      <c r="B248" t="s">
        <v>561</v>
      </c>
      <c r="C248" t="s">
        <v>15</v>
      </c>
      <c r="D248" t="s">
        <v>20</v>
      </c>
      <c r="E248">
        <v>40</v>
      </c>
      <c r="F248" t="str">
        <f t="shared" si="9"/>
        <v>31 to 40</v>
      </c>
      <c r="G248" t="s">
        <v>91</v>
      </c>
      <c r="H248" t="s">
        <v>59</v>
      </c>
      <c r="I248" t="s">
        <v>47</v>
      </c>
      <c r="J248">
        <v>1</v>
      </c>
      <c r="K248" t="str">
        <f t="shared" si="10"/>
        <v>0 to 10</v>
      </c>
      <c r="L248" s="1">
        <v>100</v>
      </c>
      <c r="M248" t="s">
        <v>2070</v>
      </c>
      <c r="O248">
        <v>2.1</v>
      </c>
      <c r="P248">
        <v>1</v>
      </c>
      <c r="Q248" t="s">
        <v>2076</v>
      </c>
      <c r="T248" s="2" t="str">
        <f t="shared" si="11"/>
        <v/>
      </c>
    </row>
    <row r="249" spans="1:21" x14ac:dyDescent="0.3">
      <c r="A249" t="s">
        <v>562</v>
      </c>
      <c r="B249" t="s">
        <v>563</v>
      </c>
      <c r="C249" t="s">
        <v>15</v>
      </c>
      <c r="D249" t="s">
        <v>20</v>
      </c>
      <c r="E249">
        <v>48</v>
      </c>
      <c r="F249" t="str">
        <f t="shared" si="9"/>
        <v>41 to 50</v>
      </c>
      <c r="G249" t="s">
        <v>42</v>
      </c>
      <c r="H249" t="s">
        <v>43</v>
      </c>
      <c r="I249" t="s">
        <v>60</v>
      </c>
      <c r="J249">
        <v>21</v>
      </c>
      <c r="K249" t="str">
        <f t="shared" si="10"/>
        <v>21 to 30</v>
      </c>
      <c r="L249" s="1">
        <v>40</v>
      </c>
      <c r="M249" t="s">
        <v>2067</v>
      </c>
      <c r="O249">
        <v>0</v>
      </c>
      <c r="P249">
        <v>1</v>
      </c>
      <c r="Q249" t="s">
        <v>2076</v>
      </c>
      <c r="T249" s="2" t="str">
        <f t="shared" si="11"/>
        <v/>
      </c>
    </row>
    <row r="250" spans="1:21" x14ac:dyDescent="0.3">
      <c r="A250" t="s">
        <v>564</v>
      </c>
      <c r="B250" t="s">
        <v>565</v>
      </c>
      <c r="C250" t="s">
        <v>15</v>
      </c>
      <c r="D250" t="s">
        <v>20</v>
      </c>
      <c r="E250">
        <v>54</v>
      </c>
      <c r="F250" t="str">
        <f t="shared" si="9"/>
        <v>51 to 60</v>
      </c>
      <c r="G250" t="s">
        <v>139</v>
      </c>
      <c r="H250" t="s">
        <v>59</v>
      </c>
      <c r="I250" t="s">
        <v>63</v>
      </c>
      <c r="J250">
        <v>3</v>
      </c>
      <c r="K250" t="str">
        <f t="shared" si="10"/>
        <v>0 to 10</v>
      </c>
      <c r="L250" s="1">
        <v>30</v>
      </c>
      <c r="M250" t="s">
        <v>2068</v>
      </c>
      <c r="N250" t="s">
        <v>2069</v>
      </c>
      <c r="O250">
        <v>2.4</v>
      </c>
      <c r="P250">
        <v>0</v>
      </c>
      <c r="Q250" t="s">
        <v>2077</v>
      </c>
      <c r="R250">
        <v>0.81</v>
      </c>
      <c r="S250" s="2">
        <v>0.81</v>
      </c>
      <c r="T250" s="2" t="str">
        <f t="shared" si="11"/>
        <v>81% to 90%</v>
      </c>
    </row>
    <row r="251" spans="1:21" x14ac:dyDescent="0.3">
      <c r="A251" t="s">
        <v>566</v>
      </c>
      <c r="B251" t="s">
        <v>567</v>
      </c>
      <c r="C251" t="s">
        <v>15</v>
      </c>
      <c r="D251" t="s">
        <v>20</v>
      </c>
      <c r="E251">
        <v>41</v>
      </c>
      <c r="F251" t="str">
        <f t="shared" si="9"/>
        <v>41 to 50</v>
      </c>
      <c r="G251" t="s">
        <v>77</v>
      </c>
      <c r="H251" t="s">
        <v>78</v>
      </c>
      <c r="I251" t="s">
        <v>108</v>
      </c>
      <c r="J251">
        <v>7</v>
      </c>
      <c r="K251" t="str">
        <f t="shared" si="10"/>
        <v>0 to 10</v>
      </c>
      <c r="L251" s="1">
        <v>40</v>
      </c>
      <c r="M251" t="s">
        <v>2067</v>
      </c>
      <c r="O251">
        <v>1.8</v>
      </c>
      <c r="P251" t="b">
        <v>0</v>
      </c>
      <c r="Q251" t="s">
        <v>2077</v>
      </c>
      <c r="R251">
        <v>0.7</v>
      </c>
      <c r="S251" s="2">
        <v>0.7</v>
      </c>
      <c r="T251" s="2" t="str">
        <f t="shared" si="11"/>
        <v>61% to 70 %</v>
      </c>
    </row>
    <row r="252" spans="1:21" x14ac:dyDescent="0.3">
      <c r="A252" t="s">
        <v>568</v>
      </c>
      <c r="B252" t="s">
        <v>569</v>
      </c>
      <c r="C252" t="s">
        <v>76</v>
      </c>
      <c r="D252" t="s">
        <v>80</v>
      </c>
      <c r="E252">
        <v>36</v>
      </c>
      <c r="F252" t="str">
        <f t="shared" si="9"/>
        <v>31 to 40</v>
      </c>
      <c r="G252" t="s">
        <v>155</v>
      </c>
      <c r="H252" t="s">
        <v>17</v>
      </c>
      <c r="I252" t="s">
        <v>63</v>
      </c>
      <c r="J252">
        <v>18</v>
      </c>
      <c r="K252" t="str">
        <f t="shared" si="10"/>
        <v>11 to 20</v>
      </c>
      <c r="L252" s="1">
        <v>20</v>
      </c>
      <c r="M252" t="s">
        <v>2065</v>
      </c>
      <c r="N252" t="s">
        <v>2072</v>
      </c>
      <c r="O252">
        <v>1.7</v>
      </c>
      <c r="P252">
        <v>1</v>
      </c>
      <c r="Q252" t="s">
        <v>2076</v>
      </c>
      <c r="R252">
        <v>72</v>
      </c>
      <c r="S252" s="2">
        <v>0.72</v>
      </c>
      <c r="T252" s="2" t="str">
        <f t="shared" si="11"/>
        <v>71% to 80%</v>
      </c>
      <c r="U252">
        <v>0.72</v>
      </c>
    </row>
    <row r="253" spans="1:21" x14ac:dyDescent="0.3">
      <c r="A253" t="s">
        <v>570</v>
      </c>
      <c r="B253" t="s">
        <v>571</v>
      </c>
      <c r="C253" t="s">
        <v>76</v>
      </c>
      <c r="D253" t="s">
        <v>80</v>
      </c>
      <c r="E253">
        <v>25</v>
      </c>
      <c r="F253" t="str">
        <f t="shared" si="9"/>
        <v>21 to 30</v>
      </c>
      <c r="G253" t="s">
        <v>46</v>
      </c>
      <c r="H253" t="s">
        <v>17</v>
      </c>
      <c r="I253" t="s">
        <v>39</v>
      </c>
      <c r="J253">
        <v>5</v>
      </c>
      <c r="K253" t="str">
        <f t="shared" si="10"/>
        <v>0 to 10</v>
      </c>
      <c r="L253" s="1">
        <v>40</v>
      </c>
      <c r="M253" t="s">
        <v>2067</v>
      </c>
      <c r="P253" t="b">
        <v>1</v>
      </c>
      <c r="Q253" t="s">
        <v>2076</v>
      </c>
      <c r="R253">
        <v>0.75</v>
      </c>
      <c r="S253" s="2">
        <v>0.75</v>
      </c>
      <c r="T253" s="2" t="str">
        <f t="shared" si="11"/>
        <v>71% to 80%</v>
      </c>
    </row>
    <row r="254" spans="1:21" x14ac:dyDescent="0.3">
      <c r="A254" t="s">
        <v>572</v>
      </c>
      <c r="B254" t="s">
        <v>573</v>
      </c>
      <c r="C254" t="s">
        <v>111</v>
      </c>
      <c r="D254" t="s">
        <v>80</v>
      </c>
      <c r="E254">
        <v>56</v>
      </c>
      <c r="F254" t="str">
        <f t="shared" si="9"/>
        <v>51 to 60</v>
      </c>
      <c r="G254" t="s">
        <v>16</v>
      </c>
      <c r="H254" t="s">
        <v>17</v>
      </c>
      <c r="I254" t="s">
        <v>60</v>
      </c>
      <c r="J254">
        <v>27</v>
      </c>
      <c r="K254" t="str">
        <f t="shared" si="10"/>
        <v>21 to 30</v>
      </c>
      <c r="L254" s="1">
        <v>20</v>
      </c>
      <c r="M254" t="s">
        <v>2065</v>
      </c>
      <c r="N254" t="s">
        <v>2072</v>
      </c>
      <c r="O254">
        <v>2.2000000000000002</v>
      </c>
      <c r="P254" t="b">
        <v>0</v>
      </c>
      <c r="Q254" t="s">
        <v>2077</v>
      </c>
      <c r="R254">
        <v>0.7</v>
      </c>
      <c r="S254" s="2">
        <v>0.7</v>
      </c>
      <c r="T254" s="2" t="str">
        <f t="shared" si="11"/>
        <v>61% to 70 %</v>
      </c>
    </row>
    <row r="255" spans="1:21" x14ac:dyDescent="0.3">
      <c r="A255" t="s">
        <v>574</v>
      </c>
      <c r="B255" t="s">
        <v>575</v>
      </c>
      <c r="C255" t="s">
        <v>15</v>
      </c>
      <c r="D255" t="s">
        <v>20</v>
      </c>
      <c r="E255">
        <v>57</v>
      </c>
      <c r="F255" t="str">
        <f t="shared" si="9"/>
        <v>51 to 60</v>
      </c>
      <c r="G255" t="s">
        <v>27</v>
      </c>
      <c r="H255" t="s">
        <v>28</v>
      </c>
      <c r="I255" t="s">
        <v>79</v>
      </c>
      <c r="J255">
        <v>4</v>
      </c>
      <c r="K255" t="str">
        <f t="shared" si="10"/>
        <v>0 to 10</v>
      </c>
      <c r="L255" s="1">
        <v>30</v>
      </c>
      <c r="M255" t="s">
        <v>2068</v>
      </c>
      <c r="N255" t="s">
        <v>2069</v>
      </c>
      <c r="O255">
        <v>4.2</v>
      </c>
      <c r="P255">
        <v>0</v>
      </c>
      <c r="Q255" t="s">
        <v>2077</v>
      </c>
      <c r="T255" s="2" t="str">
        <f t="shared" si="11"/>
        <v/>
      </c>
    </row>
    <row r="256" spans="1:21" x14ac:dyDescent="0.3">
      <c r="A256" t="s">
        <v>576</v>
      </c>
      <c r="B256" t="s">
        <v>577</v>
      </c>
      <c r="C256" t="s">
        <v>111</v>
      </c>
      <c r="D256" t="s">
        <v>80</v>
      </c>
      <c r="E256">
        <v>40</v>
      </c>
      <c r="F256" t="str">
        <f t="shared" si="9"/>
        <v>31 to 40</v>
      </c>
      <c r="G256" t="s">
        <v>155</v>
      </c>
      <c r="H256" t="s">
        <v>17</v>
      </c>
      <c r="I256" t="s">
        <v>79</v>
      </c>
      <c r="J256">
        <v>22</v>
      </c>
      <c r="K256" t="str">
        <f t="shared" si="10"/>
        <v>21 to 30</v>
      </c>
      <c r="L256" s="1">
        <v>40</v>
      </c>
      <c r="M256" t="s">
        <v>2068</v>
      </c>
      <c r="N256" t="s">
        <v>2067</v>
      </c>
      <c r="O256">
        <v>4.3</v>
      </c>
      <c r="P256">
        <v>0</v>
      </c>
      <c r="Q256" t="s">
        <v>2077</v>
      </c>
      <c r="R256">
        <v>0.95</v>
      </c>
      <c r="S256" s="2">
        <v>0.95</v>
      </c>
      <c r="T256" s="2" t="str">
        <f t="shared" si="11"/>
        <v>91% to 100%</v>
      </c>
    </row>
    <row r="257" spans="1:21" x14ac:dyDescent="0.3">
      <c r="A257" t="s">
        <v>578</v>
      </c>
      <c r="B257" t="s">
        <v>579</v>
      </c>
      <c r="C257" t="s">
        <v>76</v>
      </c>
      <c r="D257" t="s">
        <v>80</v>
      </c>
      <c r="E257">
        <v>31</v>
      </c>
      <c r="F257" t="str">
        <f t="shared" si="9"/>
        <v>31 to 40</v>
      </c>
      <c r="G257" t="s">
        <v>118</v>
      </c>
      <c r="H257" t="s">
        <v>119</v>
      </c>
      <c r="I257" t="s">
        <v>47</v>
      </c>
      <c r="J257">
        <v>3</v>
      </c>
      <c r="K257" t="str">
        <f t="shared" si="10"/>
        <v>0 to 10</v>
      </c>
      <c r="L257" s="1">
        <v>20</v>
      </c>
      <c r="M257" t="s">
        <v>2065</v>
      </c>
      <c r="N257" t="s">
        <v>2072</v>
      </c>
      <c r="P257" t="s">
        <v>53</v>
      </c>
      <c r="Q257" t="s">
        <v>2077</v>
      </c>
      <c r="T257" s="2" t="str">
        <f t="shared" si="11"/>
        <v/>
      </c>
    </row>
    <row r="258" spans="1:21" x14ac:dyDescent="0.3">
      <c r="A258" t="s">
        <v>580</v>
      </c>
      <c r="B258" t="s">
        <v>581</v>
      </c>
      <c r="C258" t="s">
        <v>76</v>
      </c>
      <c r="D258" t="s">
        <v>80</v>
      </c>
      <c r="E258">
        <v>22</v>
      </c>
      <c r="F258" t="str">
        <f t="shared" ref="F258:F321" si="12">IF(OR($E258="",NOT(ISNUMBER($E258))),"",
 IF($E258&lt;=20,"11 to 20",
 IF($E258&lt;=30,"21 to 30",
 IF($E258&lt;=40,"31 to 40",
 IF($E258&lt;=50,"41 to 50",
 IF($E258&lt;=60,"51 to 60"))))))</f>
        <v>21 to 30</v>
      </c>
      <c r="G258" t="s">
        <v>254</v>
      </c>
      <c r="H258" t="s">
        <v>255</v>
      </c>
      <c r="I258" t="s">
        <v>18</v>
      </c>
      <c r="J258">
        <v>3</v>
      </c>
      <c r="K258" t="str">
        <f t="shared" ref="K258:K321" si="13">IF(OR($J258="",NOT(ISNUMBER($J258))),"",
 IF($J258&lt;=10,"0 to 10",
 IF($J258&lt;=20,"11 to 20",
 IF($J258&lt;=30,"21 to 30",
 IF($J258&lt;=40,"31 to 40",
 "40+")))))</f>
        <v>0 to 10</v>
      </c>
      <c r="L258" s="1">
        <v>40</v>
      </c>
      <c r="M258" t="s">
        <v>2068</v>
      </c>
      <c r="N258" t="s">
        <v>2067</v>
      </c>
      <c r="O258">
        <v>2.1</v>
      </c>
      <c r="P258">
        <v>0</v>
      </c>
      <c r="Q258" t="s">
        <v>2077</v>
      </c>
      <c r="T258" s="2" t="str">
        <f t="shared" ref="T258:T321" si="14">IF(OR($S258="",NOT(ISNUMBER($S258))),"",
 IF($S258&lt;=0.6,"50% to 60%",
 IF($S258&lt;=0.7,"61% to 70 %",
 IF($S258&lt;=0.8,"71% to 80%",
 IF($S258&lt;=0.9,"81% to 90%",
 IF($S258&lt;=1,"91% to 100%"))))))</f>
        <v/>
      </c>
    </row>
    <row r="259" spans="1:21" x14ac:dyDescent="0.3">
      <c r="A259" t="s">
        <v>582</v>
      </c>
      <c r="B259" t="s">
        <v>583</v>
      </c>
      <c r="C259" t="s">
        <v>111</v>
      </c>
      <c r="D259" t="s">
        <v>80</v>
      </c>
      <c r="E259">
        <v>38</v>
      </c>
      <c r="F259" t="str">
        <f t="shared" si="12"/>
        <v>31 to 40</v>
      </c>
      <c r="G259" t="s">
        <v>155</v>
      </c>
      <c r="H259" t="s">
        <v>17</v>
      </c>
      <c r="I259" t="s">
        <v>52</v>
      </c>
      <c r="J259">
        <v>11</v>
      </c>
      <c r="K259" t="str">
        <f t="shared" si="13"/>
        <v>11 to 20</v>
      </c>
      <c r="O259">
        <v>2.8</v>
      </c>
      <c r="R259">
        <v>91</v>
      </c>
      <c r="S259" s="2">
        <v>0.91</v>
      </c>
      <c r="T259" s="2" t="str">
        <f t="shared" si="14"/>
        <v>91% to 100%</v>
      </c>
      <c r="U259">
        <v>0.91</v>
      </c>
    </row>
    <row r="260" spans="1:21" x14ac:dyDescent="0.3">
      <c r="A260" t="s">
        <v>584</v>
      </c>
      <c r="B260" t="s">
        <v>585</v>
      </c>
      <c r="C260" t="s">
        <v>111</v>
      </c>
      <c r="D260" t="s">
        <v>80</v>
      </c>
      <c r="E260">
        <v>43</v>
      </c>
      <c r="F260" t="str">
        <f t="shared" si="12"/>
        <v>41 to 50</v>
      </c>
      <c r="G260" t="s">
        <v>31</v>
      </c>
      <c r="H260" t="s">
        <v>32</v>
      </c>
      <c r="I260" t="s">
        <v>39</v>
      </c>
      <c r="J260">
        <v>20</v>
      </c>
      <c r="K260" t="str">
        <f t="shared" si="13"/>
        <v>11 to 20</v>
      </c>
      <c r="L260" s="1">
        <v>30</v>
      </c>
      <c r="M260" t="s">
        <v>2068</v>
      </c>
      <c r="N260" t="s">
        <v>2069</v>
      </c>
      <c r="O260">
        <v>2.7</v>
      </c>
      <c r="P260" t="b">
        <v>0</v>
      </c>
      <c r="Q260" t="s">
        <v>2077</v>
      </c>
      <c r="R260">
        <v>0.72</v>
      </c>
      <c r="S260" s="2">
        <v>0.72</v>
      </c>
      <c r="T260" s="2" t="str">
        <f t="shared" si="14"/>
        <v>71% to 80%</v>
      </c>
    </row>
    <row r="261" spans="1:21" x14ac:dyDescent="0.3">
      <c r="A261" t="s">
        <v>586</v>
      </c>
      <c r="B261" t="s">
        <v>587</v>
      </c>
      <c r="C261" t="s">
        <v>111</v>
      </c>
      <c r="D261" t="s">
        <v>80</v>
      </c>
      <c r="E261">
        <v>27</v>
      </c>
      <c r="F261" t="str">
        <f t="shared" si="12"/>
        <v>21 to 30</v>
      </c>
      <c r="G261" t="s">
        <v>158</v>
      </c>
      <c r="H261" t="s">
        <v>159</v>
      </c>
      <c r="I261" t="s">
        <v>63</v>
      </c>
      <c r="J261">
        <v>8</v>
      </c>
      <c r="K261" t="str">
        <f t="shared" si="13"/>
        <v>0 to 10</v>
      </c>
      <c r="L261" s="1">
        <v>50</v>
      </c>
      <c r="M261" t="s">
        <v>2065</v>
      </c>
      <c r="N261" t="s">
        <v>2071</v>
      </c>
      <c r="O261">
        <v>0</v>
      </c>
      <c r="T261" s="2" t="str">
        <f t="shared" si="14"/>
        <v/>
      </c>
    </row>
    <row r="262" spans="1:21" x14ac:dyDescent="0.3">
      <c r="A262" t="s">
        <v>588</v>
      </c>
      <c r="B262" t="s">
        <v>589</v>
      </c>
      <c r="C262" t="s">
        <v>111</v>
      </c>
      <c r="D262" t="s">
        <v>80</v>
      </c>
      <c r="F262" t="str">
        <f t="shared" si="12"/>
        <v/>
      </c>
      <c r="G262" t="s">
        <v>104</v>
      </c>
      <c r="H262" t="s">
        <v>105</v>
      </c>
      <c r="I262" t="s">
        <v>18</v>
      </c>
      <c r="K262" t="str">
        <f t="shared" si="13"/>
        <v/>
      </c>
      <c r="L262" s="1">
        <v>40</v>
      </c>
      <c r="M262" t="s">
        <v>2067</v>
      </c>
      <c r="O262">
        <v>2.8</v>
      </c>
      <c r="P262" t="s">
        <v>53</v>
      </c>
      <c r="Q262" t="s">
        <v>2077</v>
      </c>
      <c r="R262">
        <v>0.8</v>
      </c>
      <c r="S262" s="2">
        <v>0.8</v>
      </c>
      <c r="T262" s="2" t="str">
        <f t="shared" si="14"/>
        <v>71% to 80%</v>
      </c>
    </row>
    <row r="263" spans="1:21" x14ac:dyDescent="0.3">
      <c r="A263" t="s">
        <v>590</v>
      </c>
      <c r="B263" t="s">
        <v>591</v>
      </c>
      <c r="C263" t="s">
        <v>111</v>
      </c>
      <c r="D263" t="s">
        <v>80</v>
      </c>
      <c r="E263">
        <v>46</v>
      </c>
      <c r="F263" t="str">
        <f t="shared" si="12"/>
        <v>41 to 50</v>
      </c>
      <c r="G263" t="s">
        <v>254</v>
      </c>
      <c r="H263" t="s">
        <v>255</v>
      </c>
      <c r="I263" t="s">
        <v>52</v>
      </c>
      <c r="K263" t="str">
        <f t="shared" si="13"/>
        <v/>
      </c>
      <c r="L263" s="1">
        <v>100</v>
      </c>
      <c r="M263" t="s">
        <v>2065</v>
      </c>
      <c r="N263" t="s">
        <v>2070</v>
      </c>
      <c r="O263">
        <v>4.4000000000000004</v>
      </c>
      <c r="P263">
        <v>1</v>
      </c>
      <c r="Q263" t="s">
        <v>2076</v>
      </c>
      <c r="R263">
        <v>97</v>
      </c>
      <c r="S263" s="2">
        <v>0.97</v>
      </c>
      <c r="T263" s="2" t="str">
        <f t="shared" si="14"/>
        <v>91% to 100%</v>
      </c>
      <c r="U263">
        <v>0.97</v>
      </c>
    </row>
    <row r="264" spans="1:21" x14ac:dyDescent="0.3">
      <c r="A264" t="s">
        <v>592</v>
      </c>
      <c r="B264" t="s">
        <v>593</v>
      </c>
      <c r="C264" t="s">
        <v>76</v>
      </c>
      <c r="D264" t="s">
        <v>80</v>
      </c>
      <c r="E264">
        <v>22</v>
      </c>
      <c r="F264" t="str">
        <f t="shared" si="12"/>
        <v>21 to 30</v>
      </c>
      <c r="G264" t="s">
        <v>101</v>
      </c>
      <c r="H264" t="s">
        <v>59</v>
      </c>
      <c r="I264" t="s">
        <v>52</v>
      </c>
      <c r="J264">
        <v>4</v>
      </c>
      <c r="K264" t="str">
        <f t="shared" si="13"/>
        <v>0 to 10</v>
      </c>
      <c r="L264" s="1">
        <v>20</v>
      </c>
      <c r="M264" t="s">
        <v>2072</v>
      </c>
      <c r="P264">
        <v>0</v>
      </c>
      <c r="Q264" t="s">
        <v>2077</v>
      </c>
      <c r="R264">
        <v>0.73</v>
      </c>
      <c r="S264" s="2">
        <v>0.73</v>
      </c>
      <c r="T264" s="2" t="str">
        <f t="shared" si="14"/>
        <v>71% to 80%</v>
      </c>
    </row>
    <row r="265" spans="1:21" x14ac:dyDescent="0.3">
      <c r="A265" t="s">
        <v>594</v>
      </c>
      <c r="B265" t="s">
        <v>595</v>
      </c>
      <c r="C265" t="s">
        <v>111</v>
      </c>
      <c r="D265" t="s">
        <v>80</v>
      </c>
      <c r="E265">
        <v>54</v>
      </c>
      <c r="F265" t="str">
        <f t="shared" si="12"/>
        <v>51 to 60</v>
      </c>
      <c r="G265" t="s">
        <v>158</v>
      </c>
      <c r="H265" t="s">
        <v>159</v>
      </c>
      <c r="I265" t="s">
        <v>47</v>
      </c>
      <c r="J265">
        <v>17</v>
      </c>
      <c r="K265" t="str">
        <f t="shared" si="13"/>
        <v>11 to 20</v>
      </c>
      <c r="L265" s="1">
        <v>20</v>
      </c>
      <c r="M265" t="s">
        <v>2072</v>
      </c>
      <c r="O265">
        <v>1.7</v>
      </c>
      <c r="P265">
        <v>0</v>
      </c>
      <c r="Q265" t="s">
        <v>2077</v>
      </c>
      <c r="R265">
        <v>0.69</v>
      </c>
      <c r="S265" s="2">
        <v>0.69</v>
      </c>
      <c r="T265" s="2" t="str">
        <f t="shared" si="14"/>
        <v>61% to 70 %</v>
      </c>
    </row>
    <row r="266" spans="1:21" x14ac:dyDescent="0.3">
      <c r="A266" t="s">
        <v>596</v>
      </c>
      <c r="B266" t="s">
        <v>597</v>
      </c>
      <c r="C266" t="s">
        <v>111</v>
      </c>
      <c r="D266" t="s">
        <v>80</v>
      </c>
      <c r="E266">
        <v>58</v>
      </c>
      <c r="F266" t="str">
        <f t="shared" si="12"/>
        <v>51 to 60</v>
      </c>
      <c r="G266" t="s">
        <v>42</v>
      </c>
      <c r="H266" t="s">
        <v>43</v>
      </c>
      <c r="I266" t="s">
        <v>18</v>
      </c>
      <c r="J266">
        <v>0</v>
      </c>
      <c r="K266" t="str">
        <f t="shared" si="13"/>
        <v>0 to 10</v>
      </c>
      <c r="L266" s="1">
        <v>30</v>
      </c>
      <c r="M266" t="s">
        <v>2068</v>
      </c>
      <c r="N266" t="s">
        <v>2069</v>
      </c>
      <c r="O266">
        <v>4.5999999999999996</v>
      </c>
      <c r="P266">
        <v>0</v>
      </c>
      <c r="Q266" t="s">
        <v>2077</v>
      </c>
      <c r="R266">
        <v>70</v>
      </c>
      <c r="S266" s="2">
        <v>0.7</v>
      </c>
      <c r="T266" s="2" t="str">
        <f t="shared" si="14"/>
        <v>61% to 70 %</v>
      </c>
      <c r="U266">
        <v>0.7</v>
      </c>
    </row>
    <row r="267" spans="1:21" x14ac:dyDescent="0.3">
      <c r="A267" t="s">
        <v>598</v>
      </c>
      <c r="B267" t="s">
        <v>599</v>
      </c>
      <c r="C267" t="s">
        <v>111</v>
      </c>
      <c r="D267" t="s">
        <v>80</v>
      </c>
      <c r="E267">
        <v>54</v>
      </c>
      <c r="F267" t="str">
        <f t="shared" si="12"/>
        <v>51 to 60</v>
      </c>
      <c r="G267" t="s">
        <v>16</v>
      </c>
      <c r="H267" t="s">
        <v>17</v>
      </c>
      <c r="I267" t="s">
        <v>66</v>
      </c>
      <c r="J267">
        <v>32</v>
      </c>
      <c r="K267" t="str">
        <f t="shared" si="13"/>
        <v>31 to 40</v>
      </c>
      <c r="L267" s="1">
        <v>40</v>
      </c>
      <c r="M267" t="s">
        <v>2068</v>
      </c>
      <c r="N267" t="s">
        <v>2067</v>
      </c>
      <c r="O267">
        <v>1.8</v>
      </c>
      <c r="P267" t="s">
        <v>53</v>
      </c>
      <c r="Q267" t="s">
        <v>2077</v>
      </c>
      <c r="T267" s="2" t="str">
        <f t="shared" si="14"/>
        <v/>
      </c>
    </row>
    <row r="268" spans="1:21" x14ac:dyDescent="0.3">
      <c r="A268" t="s">
        <v>600</v>
      </c>
      <c r="B268" t="s">
        <v>601</v>
      </c>
      <c r="C268" t="s">
        <v>76</v>
      </c>
      <c r="D268" t="s">
        <v>80</v>
      </c>
      <c r="E268">
        <v>36</v>
      </c>
      <c r="F268" t="str">
        <f t="shared" si="12"/>
        <v>31 to 40</v>
      </c>
      <c r="G268" t="s">
        <v>37</v>
      </c>
      <c r="H268" t="s">
        <v>38</v>
      </c>
      <c r="I268" t="s">
        <v>108</v>
      </c>
      <c r="J268">
        <v>3</v>
      </c>
      <c r="K268" t="str">
        <f t="shared" si="13"/>
        <v>0 to 10</v>
      </c>
      <c r="L268" s="1">
        <v>50</v>
      </c>
      <c r="M268" t="s">
        <v>2068</v>
      </c>
      <c r="N268" t="s">
        <v>2071</v>
      </c>
      <c r="O268">
        <v>0</v>
      </c>
      <c r="P268" t="s">
        <v>67</v>
      </c>
      <c r="Q268" t="s">
        <v>2077</v>
      </c>
      <c r="R268">
        <v>75</v>
      </c>
      <c r="S268" s="2">
        <v>0.75</v>
      </c>
      <c r="T268" s="2" t="str">
        <f t="shared" si="14"/>
        <v>71% to 80%</v>
      </c>
      <c r="U268">
        <v>0.75</v>
      </c>
    </row>
    <row r="269" spans="1:21" x14ac:dyDescent="0.3">
      <c r="A269" t="s">
        <v>602</v>
      </c>
      <c r="B269" t="s">
        <v>603</v>
      </c>
      <c r="C269" t="s">
        <v>76</v>
      </c>
      <c r="D269" t="s">
        <v>80</v>
      </c>
      <c r="E269">
        <v>54</v>
      </c>
      <c r="F269" t="str">
        <f t="shared" si="12"/>
        <v>51 to 60</v>
      </c>
      <c r="G269" t="s">
        <v>31</v>
      </c>
      <c r="H269" t="s">
        <v>32</v>
      </c>
      <c r="I269" t="s">
        <v>108</v>
      </c>
      <c r="J269">
        <v>4</v>
      </c>
      <c r="K269" t="str">
        <f t="shared" si="13"/>
        <v>0 to 10</v>
      </c>
      <c r="L269" s="1">
        <v>20</v>
      </c>
      <c r="M269" t="s">
        <v>2072</v>
      </c>
      <c r="O269">
        <v>1.1000000000000001</v>
      </c>
      <c r="P269">
        <v>1</v>
      </c>
      <c r="Q269" t="s">
        <v>2076</v>
      </c>
      <c r="R269">
        <v>0.63</v>
      </c>
      <c r="S269" s="2">
        <v>0.63</v>
      </c>
      <c r="T269" s="2" t="str">
        <f t="shared" si="14"/>
        <v>61% to 70 %</v>
      </c>
    </row>
    <row r="270" spans="1:21" x14ac:dyDescent="0.3">
      <c r="A270" t="s">
        <v>604</v>
      </c>
      <c r="B270" t="s">
        <v>605</v>
      </c>
      <c r="C270" t="s">
        <v>76</v>
      </c>
      <c r="D270" t="s">
        <v>80</v>
      </c>
      <c r="E270">
        <v>48</v>
      </c>
      <c r="F270" t="str">
        <f t="shared" si="12"/>
        <v>41 to 50</v>
      </c>
      <c r="G270" t="s">
        <v>27</v>
      </c>
      <c r="H270" t="s">
        <v>28</v>
      </c>
      <c r="I270" t="s">
        <v>52</v>
      </c>
      <c r="J270">
        <v>28</v>
      </c>
      <c r="K270" t="str">
        <f t="shared" si="13"/>
        <v>21 to 30</v>
      </c>
      <c r="L270" s="1">
        <v>30</v>
      </c>
      <c r="M270" t="s">
        <v>2068</v>
      </c>
      <c r="N270" t="s">
        <v>2069</v>
      </c>
      <c r="O270">
        <v>4.9000000000000004</v>
      </c>
      <c r="P270">
        <v>0</v>
      </c>
      <c r="Q270" t="s">
        <v>2077</v>
      </c>
      <c r="R270">
        <v>0.77</v>
      </c>
      <c r="S270" s="2">
        <v>0.77</v>
      </c>
      <c r="T270" s="2" t="str">
        <f t="shared" si="14"/>
        <v>71% to 80%</v>
      </c>
    </row>
    <row r="271" spans="1:21" x14ac:dyDescent="0.3">
      <c r="A271" t="s">
        <v>606</v>
      </c>
      <c r="B271" t="s">
        <v>607</v>
      </c>
      <c r="C271" t="s">
        <v>76</v>
      </c>
      <c r="D271" t="s">
        <v>80</v>
      </c>
      <c r="E271">
        <v>36</v>
      </c>
      <c r="F271" t="str">
        <f t="shared" si="12"/>
        <v>31 to 40</v>
      </c>
      <c r="G271" t="s">
        <v>254</v>
      </c>
      <c r="H271" t="s">
        <v>255</v>
      </c>
      <c r="I271" t="s">
        <v>47</v>
      </c>
      <c r="J271">
        <v>1</v>
      </c>
      <c r="K271" t="str">
        <f t="shared" si="13"/>
        <v>0 to 10</v>
      </c>
      <c r="L271" s="1">
        <v>75</v>
      </c>
      <c r="M271" t="s">
        <v>2065</v>
      </c>
      <c r="N271" t="s">
        <v>2066</v>
      </c>
      <c r="R271">
        <v>0.63</v>
      </c>
      <c r="S271" s="2">
        <v>0.63</v>
      </c>
      <c r="T271" s="2" t="str">
        <f t="shared" si="14"/>
        <v>61% to 70 %</v>
      </c>
    </row>
    <row r="272" spans="1:21" x14ac:dyDescent="0.3">
      <c r="A272" t="s">
        <v>608</v>
      </c>
      <c r="B272" t="s">
        <v>609</v>
      </c>
      <c r="C272" t="s">
        <v>76</v>
      </c>
      <c r="D272" t="s">
        <v>80</v>
      </c>
      <c r="E272">
        <v>42</v>
      </c>
      <c r="F272" t="str">
        <f t="shared" si="12"/>
        <v>41 to 50</v>
      </c>
      <c r="G272" t="s">
        <v>83</v>
      </c>
      <c r="H272" t="s">
        <v>84</v>
      </c>
      <c r="I272" t="s">
        <v>108</v>
      </c>
      <c r="J272">
        <v>21</v>
      </c>
      <c r="K272" t="str">
        <f t="shared" si="13"/>
        <v>21 to 30</v>
      </c>
      <c r="O272">
        <v>2.5</v>
      </c>
      <c r="P272" t="b">
        <v>1</v>
      </c>
      <c r="Q272" t="s">
        <v>2076</v>
      </c>
      <c r="R272">
        <v>0.73</v>
      </c>
      <c r="S272" s="2">
        <v>0.73</v>
      </c>
      <c r="T272" s="2" t="str">
        <f t="shared" si="14"/>
        <v>71% to 80%</v>
      </c>
    </row>
    <row r="273" spans="1:21" x14ac:dyDescent="0.3">
      <c r="A273" t="s">
        <v>610</v>
      </c>
      <c r="B273" t="s">
        <v>611</v>
      </c>
      <c r="C273" t="s">
        <v>76</v>
      </c>
      <c r="D273" t="s">
        <v>80</v>
      </c>
      <c r="E273">
        <v>50</v>
      </c>
      <c r="F273" t="str">
        <f t="shared" si="12"/>
        <v>41 to 50</v>
      </c>
      <c r="G273" t="s">
        <v>101</v>
      </c>
      <c r="H273" t="s">
        <v>59</v>
      </c>
      <c r="I273" t="s">
        <v>39</v>
      </c>
      <c r="J273">
        <v>31</v>
      </c>
      <c r="K273" t="str">
        <f t="shared" si="13"/>
        <v>31 to 40</v>
      </c>
      <c r="L273" s="1">
        <v>50</v>
      </c>
      <c r="M273" t="s">
        <v>2065</v>
      </c>
      <c r="N273" t="s">
        <v>2071</v>
      </c>
      <c r="O273">
        <v>4.0999999999999996</v>
      </c>
      <c r="R273">
        <v>0.81</v>
      </c>
      <c r="S273" s="2">
        <v>0.81</v>
      </c>
      <c r="T273" s="2" t="str">
        <f t="shared" si="14"/>
        <v>81% to 90%</v>
      </c>
    </row>
    <row r="274" spans="1:21" x14ac:dyDescent="0.3">
      <c r="A274" t="s">
        <v>612</v>
      </c>
      <c r="B274" t="s">
        <v>613</v>
      </c>
      <c r="C274" t="s">
        <v>15</v>
      </c>
      <c r="D274" t="s">
        <v>20</v>
      </c>
      <c r="E274">
        <v>31</v>
      </c>
      <c r="F274" t="str">
        <f t="shared" si="12"/>
        <v>31 to 40</v>
      </c>
      <c r="G274" t="s">
        <v>46</v>
      </c>
      <c r="H274" t="s">
        <v>17</v>
      </c>
      <c r="I274" t="s">
        <v>108</v>
      </c>
      <c r="J274">
        <v>7</v>
      </c>
      <c r="K274" t="str">
        <f t="shared" si="13"/>
        <v>0 to 10</v>
      </c>
      <c r="L274" s="1">
        <v>75</v>
      </c>
      <c r="M274" t="s">
        <v>2066</v>
      </c>
      <c r="O274">
        <v>4.4000000000000004</v>
      </c>
      <c r="P274">
        <v>0</v>
      </c>
      <c r="Q274" t="s">
        <v>2077</v>
      </c>
      <c r="R274">
        <v>0.83</v>
      </c>
      <c r="S274" s="2">
        <v>0.83</v>
      </c>
      <c r="T274" s="2" t="str">
        <f t="shared" si="14"/>
        <v>81% to 90%</v>
      </c>
    </row>
    <row r="275" spans="1:21" x14ac:dyDescent="0.3">
      <c r="A275" t="s">
        <v>614</v>
      </c>
      <c r="B275" t="s">
        <v>615</v>
      </c>
      <c r="C275" t="s">
        <v>111</v>
      </c>
      <c r="D275" t="s">
        <v>80</v>
      </c>
      <c r="E275">
        <v>25</v>
      </c>
      <c r="F275" t="str">
        <f t="shared" si="12"/>
        <v>21 to 30</v>
      </c>
      <c r="G275" t="s">
        <v>155</v>
      </c>
      <c r="H275" t="s">
        <v>17</v>
      </c>
      <c r="I275" t="s">
        <v>52</v>
      </c>
      <c r="J275">
        <v>7</v>
      </c>
      <c r="K275" t="str">
        <f t="shared" si="13"/>
        <v>0 to 10</v>
      </c>
      <c r="L275" s="1">
        <v>20</v>
      </c>
      <c r="M275" t="s">
        <v>2072</v>
      </c>
      <c r="O275">
        <v>1.9</v>
      </c>
      <c r="P275">
        <v>0</v>
      </c>
      <c r="Q275" t="s">
        <v>2077</v>
      </c>
      <c r="T275" s="2" t="str">
        <f t="shared" si="14"/>
        <v/>
      </c>
    </row>
    <row r="276" spans="1:21" x14ac:dyDescent="0.3">
      <c r="A276" t="s">
        <v>616</v>
      </c>
      <c r="B276" t="s">
        <v>617</v>
      </c>
      <c r="C276" t="s">
        <v>15</v>
      </c>
      <c r="D276" t="s">
        <v>20</v>
      </c>
      <c r="E276">
        <v>31</v>
      </c>
      <c r="F276" t="str">
        <f t="shared" si="12"/>
        <v>31 to 40</v>
      </c>
      <c r="G276" t="s">
        <v>83</v>
      </c>
      <c r="H276" t="s">
        <v>84</v>
      </c>
      <c r="I276" t="s">
        <v>33</v>
      </c>
      <c r="J276">
        <v>8</v>
      </c>
      <c r="K276" t="str">
        <f t="shared" si="13"/>
        <v>0 to 10</v>
      </c>
      <c r="L276" s="1">
        <v>50</v>
      </c>
      <c r="M276" t="s">
        <v>2071</v>
      </c>
      <c r="O276">
        <v>3.4</v>
      </c>
      <c r="P276">
        <v>0</v>
      </c>
      <c r="Q276" t="s">
        <v>2077</v>
      </c>
      <c r="T276" s="2" t="str">
        <f t="shared" si="14"/>
        <v/>
      </c>
    </row>
    <row r="277" spans="1:21" x14ac:dyDescent="0.3">
      <c r="A277" t="s">
        <v>618</v>
      </c>
      <c r="B277" t="s">
        <v>619</v>
      </c>
      <c r="C277" t="s">
        <v>36</v>
      </c>
      <c r="D277" t="s">
        <v>20</v>
      </c>
      <c r="F277" t="str">
        <f t="shared" si="12"/>
        <v/>
      </c>
      <c r="G277" t="s">
        <v>46</v>
      </c>
      <c r="H277" t="s">
        <v>17</v>
      </c>
      <c r="I277" t="s">
        <v>33</v>
      </c>
      <c r="J277">
        <v>12</v>
      </c>
      <c r="K277" t="str">
        <f t="shared" si="13"/>
        <v>11 to 20</v>
      </c>
      <c r="L277" s="1">
        <v>30</v>
      </c>
      <c r="M277" t="s">
        <v>2065</v>
      </c>
      <c r="N277" t="s">
        <v>2069</v>
      </c>
      <c r="O277">
        <v>4.0999999999999996</v>
      </c>
      <c r="P277" t="s">
        <v>67</v>
      </c>
      <c r="Q277" t="s">
        <v>2077</v>
      </c>
      <c r="R277">
        <v>0.68</v>
      </c>
      <c r="S277" s="2">
        <v>0.68</v>
      </c>
      <c r="T277" s="2" t="str">
        <f t="shared" si="14"/>
        <v>61% to 70 %</v>
      </c>
    </row>
    <row r="278" spans="1:21" x14ac:dyDescent="0.3">
      <c r="A278" t="s">
        <v>620</v>
      </c>
      <c r="B278" t="s">
        <v>621</v>
      </c>
      <c r="C278" t="s">
        <v>36</v>
      </c>
      <c r="D278" t="s">
        <v>20</v>
      </c>
      <c r="E278">
        <v>35</v>
      </c>
      <c r="F278" t="str">
        <f t="shared" si="12"/>
        <v>31 to 40</v>
      </c>
      <c r="G278" t="s">
        <v>16</v>
      </c>
      <c r="H278" t="s">
        <v>17</v>
      </c>
      <c r="I278" t="s">
        <v>47</v>
      </c>
      <c r="J278">
        <v>13</v>
      </c>
      <c r="K278" t="str">
        <f t="shared" si="13"/>
        <v>11 to 20</v>
      </c>
      <c r="L278" s="1">
        <v>40</v>
      </c>
      <c r="M278" t="s">
        <v>2067</v>
      </c>
      <c r="O278">
        <v>3.6</v>
      </c>
      <c r="P278">
        <v>0</v>
      </c>
      <c r="Q278" t="s">
        <v>2077</v>
      </c>
      <c r="R278">
        <v>0.83</v>
      </c>
      <c r="S278" s="2">
        <v>0.83</v>
      </c>
      <c r="T278" s="2" t="str">
        <f t="shared" si="14"/>
        <v>81% to 90%</v>
      </c>
    </row>
    <row r="279" spans="1:21" x14ac:dyDescent="0.3">
      <c r="A279" t="s">
        <v>622</v>
      </c>
      <c r="B279" t="s">
        <v>623</v>
      </c>
      <c r="C279" t="s">
        <v>111</v>
      </c>
      <c r="D279" t="s">
        <v>80</v>
      </c>
      <c r="E279">
        <v>39</v>
      </c>
      <c r="F279" t="str">
        <f t="shared" si="12"/>
        <v>31 to 40</v>
      </c>
      <c r="G279" t="s">
        <v>83</v>
      </c>
      <c r="H279" t="s">
        <v>84</v>
      </c>
      <c r="I279" t="s">
        <v>60</v>
      </c>
      <c r="J279">
        <v>5</v>
      </c>
      <c r="K279" t="str">
        <f t="shared" si="13"/>
        <v>0 to 10</v>
      </c>
      <c r="L279" s="1">
        <v>40</v>
      </c>
      <c r="M279" t="s">
        <v>2068</v>
      </c>
      <c r="N279" t="s">
        <v>2067</v>
      </c>
      <c r="O279">
        <v>1.2</v>
      </c>
      <c r="P279">
        <v>0</v>
      </c>
      <c r="Q279" t="s">
        <v>2077</v>
      </c>
      <c r="R279">
        <v>83</v>
      </c>
      <c r="S279" s="2">
        <v>0.83</v>
      </c>
      <c r="T279" s="2" t="str">
        <f t="shared" si="14"/>
        <v>81% to 90%</v>
      </c>
      <c r="U279">
        <v>0.83</v>
      </c>
    </row>
    <row r="280" spans="1:21" x14ac:dyDescent="0.3">
      <c r="A280" t="s">
        <v>624</v>
      </c>
      <c r="B280" t="s">
        <v>625</v>
      </c>
      <c r="C280" t="s">
        <v>76</v>
      </c>
      <c r="D280" t="s">
        <v>80</v>
      </c>
      <c r="E280">
        <v>44</v>
      </c>
      <c r="F280" t="str">
        <f t="shared" si="12"/>
        <v>41 to 50</v>
      </c>
      <c r="G280" t="s">
        <v>91</v>
      </c>
      <c r="H280" t="s">
        <v>59</v>
      </c>
      <c r="I280" t="s">
        <v>108</v>
      </c>
      <c r="J280">
        <v>0</v>
      </c>
      <c r="K280" t="str">
        <f t="shared" si="13"/>
        <v>0 to 10</v>
      </c>
      <c r="O280">
        <v>4.8</v>
      </c>
      <c r="R280">
        <v>0.84</v>
      </c>
      <c r="S280" s="2">
        <v>0.84</v>
      </c>
      <c r="T280" s="2" t="str">
        <f t="shared" si="14"/>
        <v>81% to 90%</v>
      </c>
    </row>
    <row r="281" spans="1:21" x14ac:dyDescent="0.3">
      <c r="A281" t="s">
        <v>626</v>
      </c>
      <c r="B281" t="s">
        <v>627</v>
      </c>
      <c r="C281" t="s">
        <v>76</v>
      </c>
      <c r="D281" t="s">
        <v>80</v>
      </c>
      <c r="E281">
        <v>43</v>
      </c>
      <c r="F281" t="str">
        <f t="shared" si="12"/>
        <v>41 to 50</v>
      </c>
      <c r="G281" t="s">
        <v>58</v>
      </c>
      <c r="H281" t="s">
        <v>59</v>
      </c>
      <c r="I281" t="s">
        <v>60</v>
      </c>
      <c r="J281">
        <v>5</v>
      </c>
      <c r="K281" t="str">
        <f t="shared" si="13"/>
        <v>0 to 10</v>
      </c>
      <c r="L281" s="1">
        <v>50</v>
      </c>
      <c r="M281" t="s">
        <v>2068</v>
      </c>
      <c r="N281" t="s">
        <v>2071</v>
      </c>
      <c r="P281">
        <v>1</v>
      </c>
      <c r="Q281" t="s">
        <v>2076</v>
      </c>
      <c r="R281">
        <v>0.84</v>
      </c>
      <c r="S281" s="2">
        <v>0.84</v>
      </c>
      <c r="T281" s="2" t="str">
        <f t="shared" si="14"/>
        <v>81% to 90%</v>
      </c>
    </row>
    <row r="282" spans="1:21" x14ac:dyDescent="0.3">
      <c r="A282" t="s">
        <v>628</v>
      </c>
      <c r="B282" t="s">
        <v>629</v>
      </c>
      <c r="C282" t="s">
        <v>36</v>
      </c>
      <c r="D282" t="s">
        <v>20</v>
      </c>
      <c r="E282">
        <v>37</v>
      </c>
      <c r="F282" t="str">
        <f t="shared" si="12"/>
        <v>31 to 40</v>
      </c>
      <c r="G282" t="s">
        <v>254</v>
      </c>
      <c r="H282" t="s">
        <v>255</v>
      </c>
      <c r="I282" t="s">
        <v>47</v>
      </c>
      <c r="J282">
        <v>5</v>
      </c>
      <c r="K282" t="str">
        <f t="shared" si="13"/>
        <v>0 to 10</v>
      </c>
      <c r="O282">
        <v>4.8</v>
      </c>
      <c r="P282">
        <v>1</v>
      </c>
      <c r="Q282" t="s">
        <v>2076</v>
      </c>
      <c r="R282">
        <v>0.61</v>
      </c>
      <c r="S282" s="2">
        <v>0.61</v>
      </c>
      <c r="T282" s="2" t="str">
        <f t="shared" si="14"/>
        <v>61% to 70 %</v>
      </c>
    </row>
    <row r="283" spans="1:21" x14ac:dyDescent="0.3">
      <c r="A283" t="s">
        <v>630</v>
      </c>
      <c r="B283" t="s">
        <v>631</v>
      </c>
      <c r="C283" t="s">
        <v>15</v>
      </c>
      <c r="D283" t="s">
        <v>20</v>
      </c>
      <c r="E283">
        <v>21</v>
      </c>
      <c r="F283" t="str">
        <f t="shared" si="12"/>
        <v>21 to 30</v>
      </c>
      <c r="G283" t="s">
        <v>83</v>
      </c>
      <c r="H283" t="s">
        <v>84</v>
      </c>
      <c r="I283" t="s">
        <v>108</v>
      </c>
      <c r="J283">
        <v>2</v>
      </c>
      <c r="K283" t="str">
        <f t="shared" si="13"/>
        <v>0 to 10</v>
      </c>
      <c r="L283" s="1">
        <v>30</v>
      </c>
      <c r="M283" t="s">
        <v>2065</v>
      </c>
      <c r="N283" t="s">
        <v>2069</v>
      </c>
      <c r="O283">
        <v>3.8</v>
      </c>
      <c r="P283">
        <v>1</v>
      </c>
      <c r="Q283" t="s">
        <v>2076</v>
      </c>
      <c r="R283">
        <v>0.98</v>
      </c>
      <c r="S283" s="2">
        <v>0.98</v>
      </c>
      <c r="T283" s="2" t="str">
        <f t="shared" si="14"/>
        <v>91% to 100%</v>
      </c>
    </row>
    <row r="284" spans="1:21" x14ac:dyDescent="0.3">
      <c r="A284" t="s">
        <v>632</v>
      </c>
      <c r="B284" t="s">
        <v>633</v>
      </c>
      <c r="C284" t="s">
        <v>15</v>
      </c>
      <c r="D284" t="s">
        <v>20</v>
      </c>
      <c r="E284">
        <v>53</v>
      </c>
      <c r="F284" t="str">
        <f t="shared" si="12"/>
        <v>51 to 60</v>
      </c>
      <c r="G284" t="s">
        <v>42</v>
      </c>
      <c r="H284" t="s">
        <v>43</v>
      </c>
      <c r="I284" t="s">
        <v>39</v>
      </c>
      <c r="J284">
        <v>21</v>
      </c>
      <c r="K284" t="str">
        <f t="shared" si="13"/>
        <v>21 to 30</v>
      </c>
      <c r="L284" s="1">
        <v>40</v>
      </c>
      <c r="M284" t="s">
        <v>2067</v>
      </c>
      <c r="O284">
        <v>4.7</v>
      </c>
      <c r="P284">
        <v>1</v>
      </c>
      <c r="Q284" t="s">
        <v>2076</v>
      </c>
      <c r="R284">
        <v>0.62</v>
      </c>
      <c r="S284" s="2">
        <v>0.62</v>
      </c>
      <c r="T284" s="2" t="str">
        <f t="shared" si="14"/>
        <v>61% to 70 %</v>
      </c>
    </row>
    <row r="285" spans="1:21" x14ac:dyDescent="0.3">
      <c r="A285" t="s">
        <v>634</v>
      </c>
      <c r="B285" t="s">
        <v>635</v>
      </c>
      <c r="C285" t="s">
        <v>15</v>
      </c>
      <c r="D285" t="s">
        <v>20</v>
      </c>
      <c r="E285">
        <v>56</v>
      </c>
      <c r="F285" t="str">
        <f t="shared" si="12"/>
        <v>51 to 60</v>
      </c>
      <c r="G285" t="s">
        <v>27</v>
      </c>
      <c r="H285" t="s">
        <v>28</v>
      </c>
      <c r="I285" t="s">
        <v>52</v>
      </c>
      <c r="J285">
        <v>23</v>
      </c>
      <c r="K285" t="str">
        <f t="shared" si="13"/>
        <v>21 to 30</v>
      </c>
      <c r="L285" s="1">
        <v>75</v>
      </c>
      <c r="M285" t="s">
        <v>2066</v>
      </c>
      <c r="O285">
        <v>3.9</v>
      </c>
      <c r="P285">
        <v>1</v>
      </c>
      <c r="Q285" t="s">
        <v>2076</v>
      </c>
      <c r="T285" s="2" t="str">
        <f t="shared" si="14"/>
        <v/>
      </c>
    </row>
    <row r="286" spans="1:21" x14ac:dyDescent="0.3">
      <c r="A286" t="s">
        <v>636</v>
      </c>
      <c r="B286" t="s">
        <v>637</v>
      </c>
      <c r="C286" t="s">
        <v>36</v>
      </c>
      <c r="D286" t="s">
        <v>20</v>
      </c>
      <c r="E286">
        <v>53</v>
      </c>
      <c r="F286" t="str">
        <f t="shared" si="12"/>
        <v>51 to 60</v>
      </c>
      <c r="G286" t="s">
        <v>50</v>
      </c>
      <c r="H286" t="s">
        <v>51</v>
      </c>
      <c r="I286" t="s">
        <v>60</v>
      </c>
      <c r="J286">
        <v>12</v>
      </c>
      <c r="K286" t="str">
        <f t="shared" si="13"/>
        <v>11 to 20</v>
      </c>
      <c r="L286" s="1">
        <v>100</v>
      </c>
      <c r="M286" t="s">
        <v>2070</v>
      </c>
      <c r="O286">
        <v>4.7</v>
      </c>
      <c r="P286">
        <v>1</v>
      </c>
      <c r="Q286" t="s">
        <v>2076</v>
      </c>
      <c r="R286">
        <v>0.87</v>
      </c>
      <c r="S286" s="2">
        <v>0.87</v>
      </c>
      <c r="T286" s="2" t="str">
        <f t="shared" si="14"/>
        <v>81% to 90%</v>
      </c>
    </row>
    <row r="287" spans="1:21" x14ac:dyDescent="0.3">
      <c r="A287" t="s">
        <v>638</v>
      </c>
      <c r="B287" t="s">
        <v>639</v>
      </c>
      <c r="C287" t="s">
        <v>15</v>
      </c>
      <c r="D287" t="s">
        <v>20</v>
      </c>
      <c r="E287">
        <v>47</v>
      </c>
      <c r="F287" t="str">
        <f t="shared" si="12"/>
        <v>41 to 50</v>
      </c>
      <c r="G287" t="s">
        <v>27</v>
      </c>
      <c r="H287" t="s">
        <v>28</v>
      </c>
      <c r="I287" t="s">
        <v>108</v>
      </c>
      <c r="J287">
        <v>18</v>
      </c>
      <c r="K287" t="str">
        <f t="shared" si="13"/>
        <v>11 to 20</v>
      </c>
      <c r="L287" s="1">
        <v>75</v>
      </c>
      <c r="M287" t="s">
        <v>2066</v>
      </c>
      <c r="O287">
        <v>0</v>
      </c>
      <c r="P287">
        <v>0</v>
      </c>
      <c r="Q287" t="s">
        <v>2077</v>
      </c>
      <c r="T287" s="2" t="str">
        <f t="shared" si="14"/>
        <v/>
      </c>
    </row>
    <row r="288" spans="1:21" x14ac:dyDescent="0.3">
      <c r="A288" t="s">
        <v>640</v>
      </c>
      <c r="B288" t="s">
        <v>641</v>
      </c>
      <c r="C288" t="s">
        <v>15</v>
      </c>
      <c r="D288" t="s">
        <v>20</v>
      </c>
      <c r="E288">
        <v>29</v>
      </c>
      <c r="F288" t="str">
        <f t="shared" si="12"/>
        <v>21 to 30</v>
      </c>
      <c r="G288" t="s">
        <v>118</v>
      </c>
      <c r="H288" t="s">
        <v>119</v>
      </c>
      <c r="I288" t="s">
        <v>63</v>
      </c>
      <c r="J288">
        <v>9</v>
      </c>
      <c r="K288" t="str">
        <f t="shared" si="13"/>
        <v>0 to 10</v>
      </c>
      <c r="L288" s="1">
        <v>20</v>
      </c>
      <c r="M288" t="s">
        <v>2072</v>
      </c>
      <c r="R288">
        <v>0.68</v>
      </c>
      <c r="S288" s="2">
        <v>0.68</v>
      </c>
      <c r="T288" s="2" t="str">
        <f t="shared" si="14"/>
        <v>61% to 70 %</v>
      </c>
    </row>
    <row r="289" spans="1:20" x14ac:dyDescent="0.3">
      <c r="A289" t="s">
        <v>642</v>
      </c>
      <c r="B289" t="s">
        <v>643</v>
      </c>
      <c r="C289" t="s">
        <v>15</v>
      </c>
      <c r="D289" t="s">
        <v>20</v>
      </c>
      <c r="E289">
        <v>45</v>
      </c>
      <c r="F289" t="str">
        <f t="shared" si="12"/>
        <v>41 to 50</v>
      </c>
      <c r="G289" t="s">
        <v>58</v>
      </c>
      <c r="H289" t="s">
        <v>59</v>
      </c>
      <c r="I289" t="s">
        <v>39</v>
      </c>
      <c r="J289">
        <v>7</v>
      </c>
      <c r="K289" t="str">
        <f t="shared" si="13"/>
        <v>0 to 10</v>
      </c>
      <c r="L289" s="1">
        <v>75</v>
      </c>
      <c r="M289" t="s">
        <v>2066</v>
      </c>
      <c r="O289">
        <v>3</v>
      </c>
      <c r="P289">
        <v>1</v>
      </c>
      <c r="Q289" t="s">
        <v>2076</v>
      </c>
      <c r="R289">
        <v>0.67</v>
      </c>
      <c r="S289" s="2">
        <v>0.67</v>
      </c>
      <c r="T289" s="2" t="str">
        <f t="shared" si="14"/>
        <v>61% to 70 %</v>
      </c>
    </row>
    <row r="290" spans="1:20" x14ac:dyDescent="0.3">
      <c r="A290" t="s">
        <v>644</v>
      </c>
      <c r="B290" t="s">
        <v>645</v>
      </c>
      <c r="C290" t="s">
        <v>15</v>
      </c>
      <c r="D290" t="s">
        <v>20</v>
      </c>
      <c r="E290">
        <v>50</v>
      </c>
      <c r="F290" t="str">
        <f t="shared" si="12"/>
        <v>41 to 50</v>
      </c>
      <c r="G290" t="s">
        <v>27</v>
      </c>
      <c r="H290" t="s">
        <v>28</v>
      </c>
      <c r="I290" t="s">
        <v>33</v>
      </c>
      <c r="J290">
        <v>22</v>
      </c>
      <c r="K290" t="str">
        <f t="shared" si="13"/>
        <v>21 to 30</v>
      </c>
      <c r="L290" s="1">
        <v>75</v>
      </c>
      <c r="M290" t="s">
        <v>2066</v>
      </c>
      <c r="O290">
        <v>3.7</v>
      </c>
      <c r="P290">
        <v>1</v>
      </c>
      <c r="Q290" t="s">
        <v>2076</v>
      </c>
      <c r="R290">
        <v>0.7</v>
      </c>
      <c r="S290" s="2">
        <v>0.7</v>
      </c>
      <c r="T290" s="2" t="str">
        <f t="shared" si="14"/>
        <v>61% to 70 %</v>
      </c>
    </row>
    <row r="291" spans="1:20" x14ac:dyDescent="0.3">
      <c r="A291" t="s">
        <v>646</v>
      </c>
      <c r="B291" t="s">
        <v>647</v>
      </c>
      <c r="C291" t="s">
        <v>36</v>
      </c>
      <c r="D291" t="s">
        <v>20</v>
      </c>
      <c r="E291">
        <v>60</v>
      </c>
      <c r="F291" t="str">
        <f t="shared" si="12"/>
        <v>51 to 60</v>
      </c>
      <c r="G291" t="s">
        <v>139</v>
      </c>
      <c r="H291" t="s">
        <v>59</v>
      </c>
      <c r="I291" t="s">
        <v>66</v>
      </c>
      <c r="J291">
        <v>34</v>
      </c>
      <c r="K291" t="str">
        <f t="shared" si="13"/>
        <v>31 to 40</v>
      </c>
      <c r="O291">
        <v>2.5</v>
      </c>
      <c r="P291" t="b">
        <v>0</v>
      </c>
      <c r="Q291" t="s">
        <v>2077</v>
      </c>
      <c r="R291">
        <v>0.93</v>
      </c>
      <c r="S291" s="2">
        <v>0.93</v>
      </c>
      <c r="T291" s="2" t="str">
        <f t="shared" si="14"/>
        <v>91% to 100%</v>
      </c>
    </row>
    <row r="292" spans="1:20" x14ac:dyDescent="0.3">
      <c r="A292" t="s">
        <v>648</v>
      </c>
      <c r="B292" t="s">
        <v>649</v>
      </c>
      <c r="C292" t="s">
        <v>76</v>
      </c>
      <c r="D292" t="s">
        <v>80</v>
      </c>
      <c r="E292">
        <v>54</v>
      </c>
      <c r="F292" t="str">
        <f t="shared" si="12"/>
        <v>51 to 60</v>
      </c>
      <c r="G292" t="s">
        <v>91</v>
      </c>
      <c r="H292" t="s">
        <v>59</v>
      </c>
      <c r="I292" t="s">
        <v>79</v>
      </c>
      <c r="J292">
        <v>33</v>
      </c>
      <c r="K292" t="str">
        <f t="shared" si="13"/>
        <v>31 to 40</v>
      </c>
      <c r="L292" s="1">
        <v>75</v>
      </c>
      <c r="M292" t="s">
        <v>2065</v>
      </c>
      <c r="N292" t="s">
        <v>2066</v>
      </c>
      <c r="O292">
        <v>0</v>
      </c>
      <c r="P292">
        <v>1</v>
      </c>
      <c r="Q292" t="s">
        <v>2076</v>
      </c>
      <c r="R292">
        <v>0.62</v>
      </c>
      <c r="S292" s="2">
        <v>0.62</v>
      </c>
      <c r="T292" s="2" t="str">
        <f t="shared" si="14"/>
        <v>61% to 70 %</v>
      </c>
    </row>
    <row r="293" spans="1:20" x14ac:dyDescent="0.3">
      <c r="A293" t="s">
        <v>650</v>
      </c>
      <c r="B293" t="s">
        <v>651</v>
      </c>
      <c r="C293" t="s">
        <v>15</v>
      </c>
      <c r="D293" t="s">
        <v>20</v>
      </c>
      <c r="E293">
        <v>22</v>
      </c>
      <c r="F293" t="str">
        <f t="shared" si="12"/>
        <v>21 to 30</v>
      </c>
      <c r="G293" t="s">
        <v>101</v>
      </c>
      <c r="H293" t="s">
        <v>59</v>
      </c>
      <c r="I293" t="s">
        <v>60</v>
      </c>
      <c r="J293">
        <v>1</v>
      </c>
      <c r="K293" t="str">
        <f t="shared" si="13"/>
        <v>0 to 10</v>
      </c>
      <c r="O293">
        <v>2.6</v>
      </c>
      <c r="P293">
        <v>0</v>
      </c>
      <c r="Q293" t="s">
        <v>2077</v>
      </c>
      <c r="R293">
        <v>0.72</v>
      </c>
      <c r="S293" s="2">
        <v>0.72</v>
      </c>
      <c r="T293" s="2" t="str">
        <f t="shared" si="14"/>
        <v>71% to 80%</v>
      </c>
    </row>
    <row r="294" spans="1:20" x14ac:dyDescent="0.3">
      <c r="A294" t="s">
        <v>652</v>
      </c>
      <c r="B294" t="s">
        <v>653</v>
      </c>
      <c r="C294" t="s">
        <v>111</v>
      </c>
      <c r="D294" t="s">
        <v>80</v>
      </c>
      <c r="E294">
        <v>31</v>
      </c>
      <c r="F294" t="str">
        <f t="shared" si="12"/>
        <v>31 to 40</v>
      </c>
      <c r="G294" t="s">
        <v>31</v>
      </c>
      <c r="H294" t="s">
        <v>32</v>
      </c>
      <c r="I294" t="s">
        <v>52</v>
      </c>
      <c r="J294">
        <v>2</v>
      </c>
      <c r="K294" t="str">
        <f t="shared" si="13"/>
        <v>0 to 10</v>
      </c>
      <c r="L294" s="1">
        <v>40</v>
      </c>
      <c r="M294" t="s">
        <v>2067</v>
      </c>
      <c r="O294">
        <v>2.2999999999999998</v>
      </c>
      <c r="P294" t="s">
        <v>53</v>
      </c>
      <c r="Q294" t="s">
        <v>2077</v>
      </c>
      <c r="R294">
        <v>0.98</v>
      </c>
      <c r="S294" s="2">
        <v>0.98</v>
      </c>
      <c r="T294" s="2" t="str">
        <f t="shared" si="14"/>
        <v>91% to 100%</v>
      </c>
    </row>
    <row r="295" spans="1:20" x14ac:dyDescent="0.3">
      <c r="A295" t="s">
        <v>654</v>
      </c>
      <c r="B295" t="s">
        <v>655</v>
      </c>
      <c r="C295" t="s">
        <v>76</v>
      </c>
      <c r="D295" t="s">
        <v>80</v>
      </c>
      <c r="E295">
        <v>27</v>
      </c>
      <c r="F295" t="str">
        <f t="shared" si="12"/>
        <v>21 to 30</v>
      </c>
      <c r="G295" t="s">
        <v>46</v>
      </c>
      <c r="H295" t="s">
        <v>17</v>
      </c>
      <c r="I295" t="s">
        <v>47</v>
      </c>
      <c r="J295">
        <v>7</v>
      </c>
      <c r="K295" t="str">
        <f t="shared" si="13"/>
        <v>0 to 10</v>
      </c>
      <c r="L295" s="1">
        <v>75</v>
      </c>
      <c r="M295" t="s">
        <v>2068</v>
      </c>
      <c r="N295" t="s">
        <v>2066</v>
      </c>
      <c r="O295">
        <v>2.8</v>
      </c>
      <c r="P295">
        <v>1</v>
      </c>
      <c r="Q295" t="s">
        <v>2076</v>
      </c>
      <c r="R295">
        <v>0.92</v>
      </c>
      <c r="S295" s="2">
        <v>0.92</v>
      </c>
      <c r="T295" s="2" t="str">
        <f t="shared" si="14"/>
        <v>91% to 100%</v>
      </c>
    </row>
    <row r="296" spans="1:20" x14ac:dyDescent="0.3">
      <c r="A296" t="s">
        <v>656</v>
      </c>
      <c r="B296" t="s">
        <v>657</v>
      </c>
      <c r="C296" t="s">
        <v>111</v>
      </c>
      <c r="D296" t="s">
        <v>80</v>
      </c>
      <c r="E296">
        <v>31</v>
      </c>
      <c r="F296" t="str">
        <f t="shared" si="12"/>
        <v>31 to 40</v>
      </c>
      <c r="G296" t="s">
        <v>27</v>
      </c>
      <c r="H296" t="s">
        <v>28</v>
      </c>
      <c r="I296" t="s">
        <v>63</v>
      </c>
      <c r="J296">
        <v>10</v>
      </c>
      <c r="K296" t="str">
        <f t="shared" si="13"/>
        <v>0 to 10</v>
      </c>
      <c r="L296" s="1">
        <v>50</v>
      </c>
      <c r="M296" t="s">
        <v>2071</v>
      </c>
      <c r="O296">
        <v>0</v>
      </c>
      <c r="P296" t="s">
        <v>67</v>
      </c>
      <c r="Q296" t="s">
        <v>2077</v>
      </c>
      <c r="T296" s="2" t="str">
        <f t="shared" si="14"/>
        <v/>
      </c>
    </row>
    <row r="297" spans="1:20" x14ac:dyDescent="0.3">
      <c r="A297" t="s">
        <v>658</v>
      </c>
      <c r="B297" t="s">
        <v>659</v>
      </c>
      <c r="C297" t="s">
        <v>76</v>
      </c>
      <c r="D297" t="s">
        <v>80</v>
      </c>
      <c r="E297">
        <v>43</v>
      </c>
      <c r="F297" t="str">
        <f t="shared" si="12"/>
        <v>41 to 50</v>
      </c>
      <c r="G297" t="s">
        <v>101</v>
      </c>
      <c r="H297" t="s">
        <v>59</v>
      </c>
      <c r="I297" t="s">
        <v>39</v>
      </c>
      <c r="J297">
        <v>22</v>
      </c>
      <c r="K297" t="str">
        <f t="shared" si="13"/>
        <v>21 to 30</v>
      </c>
      <c r="L297" s="1">
        <v>40</v>
      </c>
      <c r="M297" t="s">
        <v>2067</v>
      </c>
      <c r="O297">
        <v>4.5</v>
      </c>
      <c r="T297" s="2" t="str">
        <f t="shared" si="14"/>
        <v/>
      </c>
    </row>
    <row r="298" spans="1:20" x14ac:dyDescent="0.3">
      <c r="A298" t="s">
        <v>660</v>
      </c>
      <c r="B298" t="s">
        <v>661</v>
      </c>
      <c r="C298" t="s">
        <v>76</v>
      </c>
      <c r="D298" t="s">
        <v>80</v>
      </c>
      <c r="E298">
        <v>33</v>
      </c>
      <c r="F298" t="str">
        <f t="shared" si="12"/>
        <v>31 to 40</v>
      </c>
      <c r="G298" t="s">
        <v>155</v>
      </c>
      <c r="H298" t="s">
        <v>17</v>
      </c>
      <c r="I298" t="s">
        <v>66</v>
      </c>
      <c r="J298">
        <v>11</v>
      </c>
      <c r="K298" t="str">
        <f t="shared" si="13"/>
        <v>11 to 20</v>
      </c>
      <c r="L298" s="1">
        <v>50</v>
      </c>
      <c r="M298" t="s">
        <v>2071</v>
      </c>
      <c r="O298">
        <v>5</v>
      </c>
      <c r="P298" t="s">
        <v>19</v>
      </c>
      <c r="Q298" t="s">
        <v>2076</v>
      </c>
      <c r="R298">
        <v>0.69</v>
      </c>
      <c r="S298" s="2">
        <v>0.69</v>
      </c>
      <c r="T298" s="2" t="str">
        <f t="shared" si="14"/>
        <v>61% to 70 %</v>
      </c>
    </row>
    <row r="299" spans="1:20" x14ac:dyDescent="0.3">
      <c r="A299" t="s">
        <v>662</v>
      </c>
      <c r="B299" t="s">
        <v>663</v>
      </c>
      <c r="C299" t="s">
        <v>111</v>
      </c>
      <c r="D299" t="s">
        <v>80</v>
      </c>
      <c r="E299">
        <v>31</v>
      </c>
      <c r="F299" t="str">
        <f t="shared" si="12"/>
        <v>31 to 40</v>
      </c>
      <c r="G299" t="s">
        <v>101</v>
      </c>
      <c r="H299" t="s">
        <v>59</v>
      </c>
      <c r="I299" t="s">
        <v>39</v>
      </c>
      <c r="J299">
        <v>4</v>
      </c>
      <c r="K299" t="str">
        <f t="shared" si="13"/>
        <v>0 to 10</v>
      </c>
      <c r="L299" s="1">
        <v>40</v>
      </c>
      <c r="M299" t="s">
        <v>2067</v>
      </c>
      <c r="O299">
        <v>3.2</v>
      </c>
      <c r="P299">
        <v>1</v>
      </c>
      <c r="Q299" t="s">
        <v>2076</v>
      </c>
      <c r="R299">
        <v>0.78</v>
      </c>
      <c r="S299" s="2">
        <v>0.78</v>
      </c>
      <c r="T299" s="2" t="str">
        <f t="shared" si="14"/>
        <v>71% to 80%</v>
      </c>
    </row>
    <row r="300" spans="1:20" x14ac:dyDescent="0.3">
      <c r="A300" t="s">
        <v>664</v>
      </c>
      <c r="B300" t="s">
        <v>665</v>
      </c>
      <c r="C300" t="s">
        <v>111</v>
      </c>
      <c r="D300" t="s">
        <v>80</v>
      </c>
      <c r="E300">
        <v>23</v>
      </c>
      <c r="F300" t="str">
        <f t="shared" si="12"/>
        <v>21 to 30</v>
      </c>
      <c r="G300" t="s">
        <v>139</v>
      </c>
      <c r="H300" t="s">
        <v>59</v>
      </c>
      <c r="I300" t="s">
        <v>39</v>
      </c>
      <c r="J300">
        <v>0</v>
      </c>
      <c r="K300" t="str">
        <f t="shared" si="13"/>
        <v>0 to 10</v>
      </c>
      <c r="L300" s="1">
        <v>20</v>
      </c>
      <c r="M300" t="s">
        <v>2072</v>
      </c>
      <c r="O300">
        <v>4.7</v>
      </c>
      <c r="P300" t="s">
        <v>96</v>
      </c>
      <c r="Q300" t="s">
        <v>2076</v>
      </c>
      <c r="R300">
        <v>0.6</v>
      </c>
      <c r="S300" s="2">
        <v>0.6</v>
      </c>
      <c r="T300" s="2" t="str">
        <f t="shared" si="14"/>
        <v>50% to 60%</v>
      </c>
    </row>
    <row r="301" spans="1:20" x14ac:dyDescent="0.3">
      <c r="A301" t="s">
        <v>666</v>
      </c>
      <c r="B301" t="s">
        <v>667</v>
      </c>
      <c r="C301" t="s">
        <v>76</v>
      </c>
      <c r="D301" t="s">
        <v>80</v>
      </c>
      <c r="E301">
        <v>29</v>
      </c>
      <c r="F301" t="str">
        <f t="shared" si="12"/>
        <v>21 to 30</v>
      </c>
      <c r="G301" t="s">
        <v>155</v>
      </c>
      <c r="H301" t="s">
        <v>17</v>
      </c>
      <c r="I301" t="s">
        <v>108</v>
      </c>
      <c r="J301">
        <v>10</v>
      </c>
      <c r="K301" t="str">
        <f t="shared" si="13"/>
        <v>0 to 10</v>
      </c>
      <c r="O301">
        <v>4.4000000000000004</v>
      </c>
      <c r="P301" t="s">
        <v>96</v>
      </c>
      <c r="Q301" t="s">
        <v>2076</v>
      </c>
      <c r="R301">
        <v>0.67</v>
      </c>
      <c r="S301" s="2">
        <v>0.67</v>
      </c>
      <c r="T301" s="2" t="str">
        <f t="shared" si="14"/>
        <v>61% to 70 %</v>
      </c>
    </row>
    <row r="302" spans="1:20" x14ac:dyDescent="0.3">
      <c r="A302" t="s">
        <v>668</v>
      </c>
      <c r="B302" t="s">
        <v>669</v>
      </c>
      <c r="C302" t="s">
        <v>111</v>
      </c>
      <c r="D302" t="s">
        <v>80</v>
      </c>
      <c r="E302">
        <v>20</v>
      </c>
      <c r="F302" t="str">
        <f t="shared" si="12"/>
        <v>11 to 20</v>
      </c>
      <c r="G302" t="s">
        <v>16</v>
      </c>
      <c r="H302" t="s">
        <v>17</v>
      </c>
      <c r="I302" t="s">
        <v>79</v>
      </c>
      <c r="J302">
        <v>2</v>
      </c>
      <c r="K302" t="str">
        <f t="shared" si="13"/>
        <v>0 to 10</v>
      </c>
      <c r="L302" s="1">
        <v>30</v>
      </c>
      <c r="M302" t="s">
        <v>2069</v>
      </c>
      <c r="O302">
        <v>0</v>
      </c>
      <c r="P302">
        <v>0</v>
      </c>
      <c r="Q302" t="s">
        <v>2077</v>
      </c>
      <c r="R302">
        <v>0.94</v>
      </c>
      <c r="S302" s="2">
        <v>0.94</v>
      </c>
      <c r="T302" s="2" t="str">
        <f t="shared" si="14"/>
        <v>91% to 100%</v>
      </c>
    </row>
    <row r="303" spans="1:20" x14ac:dyDescent="0.3">
      <c r="A303" t="s">
        <v>670</v>
      </c>
      <c r="B303" t="s">
        <v>671</v>
      </c>
      <c r="C303" t="s">
        <v>111</v>
      </c>
      <c r="D303" t="s">
        <v>80</v>
      </c>
      <c r="E303">
        <v>39</v>
      </c>
      <c r="F303" t="str">
        <f t="shared" si="12"/>
        <v>31 to 40</v>
      </c>
      <c r="G303" t="s">
        <v>42</v>
      </c>
      <c r="H303" t="s">
        <v>43</v>
      </c>
      <c r="I303" t="s">
        <v>33</v>
      </c>
      <c r="J303">
        <v>12</v>
      </c>
      <c r="K303" t="str">
        <f t="shared" si="13"/>
        <v>11 to 20</v>
      </c>
      <c r="L303" s="1">
        <v>20</v>
      </c>
      <c r="M303" t="s">
        <v>2065</v>
      </c>
      <c r="N303" t="s">
        <v>2072</v>
      </c>
      <c r="O303">
        <v>3.2</v>
      </c>
      <c r="P303" t="b">
        <v>1</v>
      </c>
      <c r="Q303" t="s">
        <v>2076</v>
      </c>
      <c r="R303">
        <v>0.66</v>
      </c>
      <c r="S303" s="2">
        <v>0.66</v>
      </c>
      <c r="T303" s="2" t="str">
        <f t="shared" si="14"/>
        <v>61% to 70 %</v>
      </c>
    </row>
    <row r="304" spans="1:20" x14ac:dyDescent="0.3">
      <c r="A304" t="s">
        <v>672</v>
      </c>
      <c r="B304" t="s">
        <v>673</v>
      </c>
      <c r="C304" t="s">
        <v>76</v>
      </c>
      <c r="D304" t="s">
        <v>80</v>
      </c>
      <c r="E304">
        <v>49</v>
      </c>
      <c r="F304" t="str">
        <f t="shared" si="12"/>
        <v>41 to 50</v>
      </c>
      <c r="G304" t="s">
        <v>104</v>
      </c>
      <c r="H304" t="s">
        <v>105</v>
      </c>
      <c r="I304" t="s">
        <v>39</v>
      </c>
      <c r="J304">
        <v>11</v>
      </c>
      <c r="K304" t="str">
        <f t="shared" si="13"/>
        <v>11 to 20</v>
      </c>
      <c r="L304" s="1">
        <v>75</v>
      </c>
      <c r="M304" t="s">
        <v>2066</v>
      </c>
      <c r="O304">
        <v>3.8</v>
      </c>
      <c r="P304" t="s">
        <v>96</v>
      </c>
      <c r="Q304" t="s">
        <v>2076</v>
      </c>
      <c r="R304">
        <v>0.93</v>
      </c>
      <c r="S304" s="2">
        <v>0.93</v>
      </c>
      <c r="T304" s="2" t="str">
        <f t="shared" si="14"/>
        <v>91% to 100%</v>
      </c>
    </row>
    <row r="305" spans="1:20" x14ac:dyDescent="0.3">
      <c r="A305" t="s">
        <v>674</v>
      </c>
      <c r="B305" t="s">
        <v>675</v>
      </c>
      <c r="C305" t="s">
        <v>76</v>
      </c>
      <c r="D305" t="s">
        <v>80</v>
      </c>
      <c r="E305">
        <v>44</v>
      </c>
      <c r="F305" t="str">
        <f t="shared" si="12"/>
        <v>41 to 50</v>
      </c>
      <c r="G305" t="s">
        <v>50</v>
      </c>
      <c r="H305" t="s">
        <v>51</v>
      </c>
      <c r="I305" t="s">
        <v>39</v>
      </c>
      <c r="J305">
        <v>3</v>
      </c>
      <c r="K305" t="str">
        <f t="shared" si="13"/>
        <v>0 to 10</v>
      </c>
      <c r="L305" s="1">
        <v>20</v>
      </c>
      <c r="M305" t="s">
        <v>2065</v>
      </c>
      <c r="N305" t="s">
        <v>2072</v>
      </c>
      <c r="O305">
        <v>5</v>
      </c>
      <c r="P305" t="s">
        <v>19</v>
      </c>
      <c r="Q305" t="s">
        <v>2076</v>
      </c>
      <c r="R305">
        <v>0.75</v>
      </c>
      <c r="S305" s="2">
        <v>0.75</v>
      </c>
      <c r="T305" s="2" t="str">
        <f t="shared" si="14"/>
        <v>71% to 80%</v>
      </c>
    </row>
    <row r="306" spans="1:20" x14ac:dyDescent="0.3">
      <c r="A306" t="s">
        <v>676</v>
      </c>
      <c r="B306" t="s">
        <v>677</v>
      </c>
      <c r="C306" t="s">
        <v>76</v>
      </c>
      <c r="D306" t="s">
        <v>80</v>
      </c>
      <c r="E306">
        <v>52</v>
      </c>
      <c r="F306" t="str">
        <f t="shared" si="12"/>
        <v>51 to 60</v>
      </c>
      <c r="G306" t="s">
        <v>42</v>
      </c>
      <c r="H306" t="s">
        <v>43</v>
      </c>
      <c r="I306" t="s">
        <v>39</v>
      </c>
      <c r="J306">
        <v>28</v>
      </c>
      <c r="K306" t="str">
        <f t="shared" si="13"/>
        <v>21 to 30</v>
      </c>
      <c r="L306" s="1">
        <v>20</v>
      </c>
      <c r="M306" t="s">
        <v>2065</v>
      </c>
      <c r="N306" t="s">
        <v>2072</v>
      </c>
      <c r="P306">
        <v>0</v>
      </c>
      <c r="Q306" t="s">
        <v>2077</v>
      </c>
      <c r="T306" s="2" t="str">
        <f t="shared" si="14"/>
        <v/>
      </c>
    </row>
    <row r="307" spans="1:20" x14ac:dyDescent="0.3">
      <c r="A307" t="s">
        <v>678</v>
      </c>
      <c r="B307" t="s">
        <v>679</v>
      </c>
      <c r="C307" t="s">
        <v>111</v>
      </c>
      <c r="D307" t="s">
        <v>80</v>
      </c>
      <c r="E307">
        <v>33</v>
      </c>
      <c r="F307" t="str">
        <f t="shared" si="12"/>
        <v>31 to 40</v>
      </c>
      <c r="G307" t="s">
        <v>42</v>
      </c>
      <c r="H307" t="s">
        <v>43</v>
      </c>
      <c r="I307" t="s">
        <v>79</v>
      </c>
      <c r="J307">
        <v>3</v>
      </c>
      <c r="K307" t="str">
        <f t="shared" si="13"/>
        <v>0 to 10</v>
      </c>
      <c r="L307" s="1">
        <v>40</v>
      </c>
      <c r="M307" t="s">
        <v>2065</v>
      </c>
      <c r="N307" t="s">
        <v>2067</v>
      </c>
      <c r="O307">
        <v>1.6</v>
      </c>
      <c r="R307">
        <v>0.83</v>
      </c>
      <c r="S307" s="2">
        <v>0.83</v>
      </c>
      <c r="T307" s="2" t="str">
        <f t="shared" si="14"/>
        <v>81% to 90%</v>
      </c>
    </row>
    <row r="308" spans="1:20" x14ac:dyDescent="0.3">
      <c r="A308" t="s">
        <v>680</v>
      </c>
      <c r="B308" t="s">
        <v>681</v>
      </c>
      <c r="C308" t="s">
        <v>111</v>
      </c>
      <c r="D308" t="s">
        <v>80</v>
      </c>
      <c r="E308">
        <v>45</v>
      </c>
      <c r="F308" t="str">
        <f t="shared" si="12"/>
        <v>41 to 50</v>
      </c>
      <c r="G308" t="s">
        <v>37</v>
      </c>
      <c r="H308" t="s">
        <v>38</v>
      </c>
      <c r="I308" t="s">
        <v>39</v>
      </c>
      <c r="J308">
        <v>23</v>
      </c>
      <c r="K308" t="str">
        <f t="shared" si="13"/>
        <v>21 to 30</v>
      </c>
      <c r="L308" s="1">
        <v>50</v>
      </c>
      <c r="M308" t="s">
        <v>2068</v>
      </c>
      <c r="N308" t="s">
        <v>2071</v>
      </c>
      <c r="O308">
        <v>0</v>
      </c>
      <c r="P308">
        <v>0</v>
      </c>
      <c r="Q308" t="s">
        <v>2077</v>
      </c>
      <c r="R308">
        <v>0.66</v>
      </c>
      <c r="S308" s="2">
        <v>0.66</v>
      </c>
      <c r="T308" s="2" t="str">
        <f t="shared" si="14"/>
        <v>61% to 70 %</v>
      </c>
    </row>
    <row r="309" spans="1:20" x14ac:dyDescent="0.3">
      <c r="A309" t="s">
        <v>682</v>
      </c>
      <c r="B309" t="s">
        <v>683</v>
      </c>
      <c r="C309" t="s">
        <v>111</v>
      </c>
      <c r="D309" t="s">
        <v>80</v>
      </c>
      <c r="E309">
        <v>38</v>
      </c>
      <c r="F309" t="str">
        <f t="shared" si="12"/>
        <v>31 to 40</v>
      </c>
      <c r="G309" t="s">
        <v>188</v>
      </c>
      <c r="H309" t="s">
        <v>189</v>
      </c>
      <c r="I309" t="s">
        <v>52</v>
      </c>
      <c r="J309">
        <v>14</v>
      </c>
      <c r="K309" t="str">
        <f t="shared" si="13"/>
        <v>11 to 20</v>
      </c>
      <c r="O309">
        <v>1.1000000000000001</v>
      </c>
      <c r="P309">
        <v>1</v>
      </c>
      <c r="Q309" t="s">
        <v>2076</v>
      </c>
      <c r="R309">
        <v>0.76</v>
      </c>
      <c r="S309" s="2">
        <v>0.76</v>
      </c>
      <c r="T309" s="2" t="str">
        <f t="shared" si="14"/>
        <v>71% to 80%</v>
      </c>
    </row>
    <row r="310" spans="1:20" x14ac:dyDescent="0.3">
      <c r="A310" t="s">
        <v>684</v>
      </c>
      <c r="B310" t="s">
        <v>685</v>
      </c>
      <c r="C310" t="s">
        <v>76</v>
      </c>
      <c r="D310" t="s">
        <v>80</v>
      </c>
      <c r="E310">
        <v>24</v>
      </c>
      <c r="F310" t="str">
        <f t="shared" si="12"/>
        <v>21 to 30</v>
      </c>
      <c r="G310" t="s">
        <v>104</v>
      </c>
      <c r="H310" t="s">
        <v>105</v>
      </c>
      <c r="I310" t="s">
        <v>66</v>
      </c>
      <c r="J310">
        <v>2</v>
      </c>
      <c r="K310" t="str">
        <f t="shared" si="13"/>
        <v>0 to 10</v>
      </c>
      <c r="L310" s="1">
        <v>50</v>
      </c>
      <c r="M310" t="s">
        <v>2065</v>
      </c>
      <c r="N310" t="s">
        <v>2071</v>
      </c>
      <c r="P310" t="s">
        <v>53</v>
      </c>
      <c r="Q310" t="s">
        <v>2077</v>
      </c>
      <c r="R310">
        <v>0.64</v>
      </c>
      <c r="S310" s="2">
        <v>0.64</v>
      </c>
      <c r="T310" s="2" t="str">
        <f t="shared" si="14"/>
        <v>61% to 70 %</v>
      </c>
    </row>
    <row r="311" spans="1:20" x14ac:dyDescent="0.3">
      <c r="A311" t="s">
        <v>686</v>
      </c>
      <c r="B311" t="s">
        <v>687</v>
      </c>
      <c r="C311" t="s">
        <v>15</v>
      </c>
      <c r="D311" t="s">
        <v>20</v>
      </c>
      <c r="E311">
        <v>22</v>
      </c>
      <c r="F311" t="str">
        <f t="shared" si="12"/>
        <v>21 to 30</v>
      </c>
      <c r="G311" t="s">
        <v>104</v>
      </c>
      <c r="H311" t="s">
        <v>105</v>
      </c>
      <c r="I311" t="s">
        <v>66</v>
      </c>
      <c r="J311">
        <v>4</v>
      </c>
      <c r="K311" t="str">
        <f t="shared" si="13"/>
        <v>0 to 10</v>
      </c>
      <c r="O311">
        <v>1</v>
      </c>
      <c r="P311" t="s">
        <v>19</v>
      </c>
      <c r="Q311" t="s">
        <v>2076</v>
      </c>
      <c r="T311" s="2" t="str">
        <f t="shared" si="14"/>
        <v/>
      </c>
    </row>
    <row r="312" spans="1:20" x14ac:dyDescent="0.3">
      <c r="A312" t="s">
        <v>688</v>
      </c>
      <c r="B312" t="s">
        <v>689</v>
      </c>
      <c r="C312" t="s">
        <v>36</v>
      </c>
      <c r="D312" t="s">
        <v>20</v>
      </c>
      <c r="E312">
        <v>49</v>
      </c>
      <c r="F312" t="str">
        <f t="shared" si="12"/>
        <v>41 to 50</v>
      </c>
      <c r="G312" t="s">
        <v>23</v>
      </c>
      <c r="H312" t="s">
        <v>24</v>
      </c>
      <c r="I312" t="s">
        <v>39</v>
      </c>
      <c r="J312">
        <v>1</v>
      </c>
      <c r="K312" t="str">
        <f t="shared" si="13"/>
        <v>0 to 10</v>
      </c>
      <c r="O312">
        <v>0</v>
      </c>
      <c r="P312">
        <v>0</v>
      </c>
      <c r="Q312" t="s">
        <v>2077</v>
      </c>
      <c r="R312">
        <v>0.82</v>
      </c>
      <c r="S312" s="2">
        <v>0.82</v>
      </c>
      <c r="T312" s="2" t="str">
        <f t="shared" si="14"/>
        <v>81% to 90%</v>
      </c>
    </row>
    <row r="313" spans="1:20" x14ac:dyDescent="0.3">
      <c r="A313" t="s">
        <v>690</v>
      </c>
      <c r="B313" t="s">
        <v>691</v>
      </c>
      <c r="C313" t="s">
        <v>15</v>
      </c>
      <c r="D313" t="s">
        <v>20</v>
      </c>
      <c r="E313">
        <v>29</v>
      </c>
      <c r="F313" t="str">
        <f t="shared" si="12"/>
        <v>21 to 30</v>
      </c>
      <c r="G313" t="s">
        <v>42</v>
      </c>
      <c r="H313" t="s">
        <v>43</v>
      </c>
      <c r="I313" t="s">
        <v>18</v>
      </c>
      <c r="J313">
        <v>0</v>
      </c>
      <c r="K313" t="str">
        <f t="shared" si="13"/>
        <v>0 to 10</v>
      </c>
      <c r="L313" s="1">
        <v>75</v>
      </c>
      <c r="M313" t="s">
        <v>2065</v>
      </c>
      <c r="N313" t="s">
        <v>2066</v>
      </c>
      <c r="O313">
        <v>1.5</v>
      </c>
      <c r="P313" t="b">
        <v>1</v>
      </c>
      <c r="Q313" t="s">
        <v>2076</v>
      </c>
      <c r="R313">
        <v>0.64</v>
      </c>
      <c r="S313" s="2">
        <v>0.64</v>
      </c>
      <c r="T313" s="2" t="str">
        <f t="shared" si="14"/>
        <v>61% to 70 %</v>
      </c>
    </row>
    <row r="314" spans="1:20" x14ac:dyDescent="0.3">
      <c r="A314" t="s">
        <v>692</v>
      </c>
      <c r="B314" t="s">
        <v>693</v>
      </c>
      <c r="C314" t="s">
        <v>36</v>
      </c>
      <c r="D314" t="s">
        <v>20</v>
      </c>
      <c r="E314">
        <v>52</v>
      </c>
      <c r="F314" t="str">
        <f t="shared" si="12"/>
        <v>51 to 60</v>
      </c>
      <c r="G314" t="s">
        <v>31</v>
      </c>
      <c r="H314" t="s">
        <v>32</v>
      </c>
      <c r="I314" t="s">
        <v>33</v>
      </c>
      <c r="J314">
        <v>10</v>
      </c>
      <c r="K314" t="str">
        <f t="shared" si="13"/>
        <v>0 to 10</v>
      </c>
      <c r="L314" s="1">
        <v>75</v>
      </c>
      <c r="M314" t="s">
        <v>2068</v>
      </c>
      <c r="N314" t="s">
        <v>2066</v>
      </c>
      <c r="O314">
        <v>3.1</v>
      </c>
      <c r="P314">
        <v>0</v>
      </c>
      <c r="Q314" t="s">
        <v>2077</v>
      </c>
      <c r="R314">
        <v>0.94</v>
      </c>
      <c r="S314" s="2">
        <v>0.94</v>
      </c>
      <c r="T314" s="2" t="str">
        <f t="shared" si="14"/>
        <v>91% to 100%</v>
      </c>
    </row>
    <row r="315" spans="1:20" x14ac:dyDescent="0.3">
      <c r="A315" t="s">
        <v>694</v>
      </c>
      <c r="B315" t="s">
        <v>695</v>
      </c>
      <c r="C315" t="s">
        <v>15</v>
      </c>
      <c r="D315" t="s">
        <v>20</v>
      </c>
      <c r="E315">
        <v>55</v>
      </c>
      <c r="F315" t="str">
        <f t="shared" si="12"/>
        <v>51 to 60</v>
      </c>
      <c r="G315" t="s">
        <v>23</v>
      </c>
      <c r="H315" t="s">
        <v>24</v>
      </c>
      <c r="I315" t="s">
        <v>108</v>
      </c>
      <c r="J315">
        <v>37</v>
      </c>
      <c r="K315" t="str">
        <f t="shared" si="13"/>
        <v>31 to 40</v>
      </c>
      <c r="L315" s="1">
        <v>75</v>
      </c>
      <c r="M315" t="s">
        <v>2068</v>
      </c>
      <c r="N315" t="s">
        <v>2066</v>
      </c>
      <c r="O315">
        <v>4.0999999999999996</v>
      </c>
      <c r="P315" t="s">
        <v>67</v>
      </c>
      <c r="Q315" t="s">
        <v>2077</v>
      </c>
      <c r="T315" s="2" t="str">
        <f t="shared" si="14"/>
        <v/>
      </c>
    </row>
    <row r="316" spans="1:20" x14ac:dyDescent="0.3">
      <c r="A316" t="s">
        <v>696</v>
      </c>
      <c r="B316" t="s">
        <v>697</v>
      </c>
      <c r="C316" t="s">
        <v>36</v>
      </c>
      <c r="D316" t="s">
        <v>20</v>
      </c>
      <c r="E316">
        <v>59</v>
      </c>
      <c r="F316" t="str">
        <f t="shared" si="12"/>
        <v>51 to 60</v>
      </c>
      <c r="G316" t="s">
        <v>87</v>
      </c>
      <c r="H316" t="s">
        <v>88</v>
      </c>
      <c r="I316" t="s">
        <v>18</v>
      </c>
      <c r="J316">
        <v>25</v>
      </c>
      <c r="K316" t="str">
        <f t="shared" si="13"/>
        <v>21 to 30</v>
      </c>
      <c r="L316" s="1">
        <v>20</v>
      </c>
      <c r="M316" t="s">
        <v>2072</v>
      </c>
      <c r="O316">
        <v>4</v>
      </c>
      <c r="P316">
        <v>0</v>
      </c>
      <c r="Q316" t="s">
        <v>2077</v>
      </c>
      <c r="R316">
        <v>0.9</v>
      </c>
      <c r="S316" s="2">
        <v>0.9</v>
      </c>
      <c r="T316" s="2" t="str">
        <f t="shared" si="14"/>
        <v>81% to 90%</v>
      </c>
    </row>
    <row r="317" spans="1:20" x14ac:dyDescent="0.3">
      <c r="A317" t="s">
        <v>698</v>
      </c>
      <c r="B317" t="s">
        <v>699</v>
      </c>
      <c r="C317" t="s">
        <v>36</v>
      </c>
      <c r="D317" t="s">
        <v>20</v>
      </c>
      <c r="E317">
        <v>42</v>
      </c>
      <c r="F317" t="str">
        <f t="shared" si="12"/>
        <v>41 to 50</v>
      </c>
      <c r="G317" t="s">
        <v>42</v>
      </c>
      <c r="H317" t="s">
        <v>43</v>
      </c>
      <c r="I317" t="s">
        <v>63</v>
      </c>
      <c r="J317">
        <v>0</v>
      </c>
      <c r="K317" t="str">
        <f t="shared" si="13"/>
        <v>0 to 10</v>
      </c>
      <c r="O317">
        <v>3.9</v>
      </c>
      <c r="P317" t="b">
        <v>0</v>
      </c>
      <c r="Q317" t="s">
        <v>2077</v>
      </c>
      <c r="R317">
        <v>0.62</v>
      </c>
      <c r="S317" s="2">
        <v>0.62</v>
      </c>
      <c r="T317" s="2" t="str">
        <f t="shared" si="14"/>
        <v>61% to 70 %</v>
      </c>
    </row>
    <row r="318" spans="1:20" x14ac:dyDescent="0.3">
      <c r="A318" t="s">
        <v>700</v>
      </c>
      <c r="B318" t="s">
        <v>701</v>
      </c>
      <c r="C318" t="s">
        <v>76</v>
      </c>
      <c r="D318" t="s">
        <v>80</v>
      </c>
      <c r="E318">
        <v>54</v>
      </c>
      <c r="F318" t="str">
        <f t="shared" si="12"/>
        <v>51 to 60</v>
      </c>
      <c r="G318" t="s">
        <v>87</v>
      </c>
      <c r="H318" t="s">
        <v>88</v>
      </c>
      <c r="I318" t="s">
        <v>18</v>
      </c>
      <c r="J318">
        <v>4</v>
      </c>
      <c r="K318" t="str">
        <f t="shared" si="13"/>
        <v>0 to 10</v>
      </c>
      <c r="O318">
        <v>1.4</v>
      </c>
      <c r="P318" t="b">
        <v>1</v>
      </c>
      <c r="Q318" t="s">
        <v>2076</v>
      </c>
      <c r="R318">
        <v>0.74</v>
      </c>
      <c r="S318" s="2">
        <v>0.74</v>
      </c>
      <c r="T318" s="2" t="str">
        <f t="shared" si="14"/>
        <v>71% to 80%</v>
      </c>
    </row>
    <row r="319" spans="1:20" x14ac:dyDescent="0.3">
      <c r="A319" t="s">
        <v>702</v>
      </c>
      <c r="B319" t="s">
        <v>703</v>
      </c>
      <c r="C319" t="s">
        <v>76</v>
      </c>
      <c r="D319" t="s">
        <v>80</v>
      </c>
      <c r="E319">
        <v>37</v>
      </c>
      <c r="F319" t="str">
        <f t="shared" si="12"/>
        <v>31 to 40</v>
      </c>
      <c r="G319" t="s">
        <v>31</v>
      </c>
      <c r="H319" t="s">
        <v>32</v>
      </c>
      <c r="I319" t="s">
        <v>52</v>
      </c>
      <c r="J319">
        <v>9</v>
      </c>
      <c r="K319" t="str">
        <f t="shared" si="13"/>
        <v>0 to 10</v>
      </c>
      <c r="L319" s="1">
        <v>30</v>
      </c>
      <c r="M319" t="s">
        <v>2065</v>
      </c>
      <c r="N319" t="s">
        <v>2069</v>
      </c>
      <c r="O319">
        <v>2.7</v>
      </c>
      <c r="P319">
        <v>1</v>
      </c>
      <c r="Q319" t="s">
        <v>2076</v>
      </c>
      <c r="T319" s="2" t="str">
        <f t="shared" si="14"/>
        <v/>
      </c>
    </row>
    <row r="320" spans="1:20" x14ac:dyDescent="0.3">
      <c r="A320" t="s">
        <v>704</v>
      </c>
      <c r="B320" t="s">
        <v>705</v>
      </c>
      <c r="C320" t="s">
        <v>76</v>
      </c>
      <c r="D320" t="s">
        <v>80</v>
      </c>
      <c r="E320">
        <v>36</v>
      </c>
      <c r="F320" t="str">
        <f t="shared" si="12"/>
        <v>31 to 40</v>
      </c>
      <c r="G320" t="s">
        <v>139</v>
      </c>
      <c r="H320" t="s">
        <v>59</v>
      </c>
      <c r="I320" t="s">
        <v>63</v>
      </c>
      <c r="J320">
        <v>8</v>
      </c>
      <c r="K320" t="str">
        <f t="shared" si="13"/>
        <v>0 to 10</v>
      </c>
      <c r="L320" s="1">
        <v>50</v>
      </c>
      <c r="M320" t="s">
        <v>2071</v>
      </c>
      <c r="O320">
        <v>4.3</v>
      </c>
      <c r="P320">
        <v>0</v>
      </c>
      <c r="Q320" t="s">
        <v>2077</v>
      </c>
      <c r="R320">
        <v>0.9</v>
      </c>
      <c r="S320" s="2">
        <v>0.9</v>
      </c>
      <c r="T320" s="2" t="str">
        <f t="shared" si="14"/>
        <v>81% to 90%</v>
      </c>
    </row>
    <row r="321" spans="1:21" x14ac:dyDescent="0.3">
      <c r="A321" t="s">
        <v>706</v>
      </c>
      <c r="B321" t="s">
        <v>707</v>
      </c>
      <c r="C321" t="s">
        <v>76</v>
      </c>
      <c r="D321" t="s">
        <v>80</v>
      </c>
      <c r="E321">
        <v>20</v>
      </c>
      <c r="F321" t="str">
        <f t="shared" si="12"/>
        <v>11 to 20</v>
      </c>
      <c r="G321" t="s">
        <v>91</v>
      </c>
      <c r="H321" t="s">
        <v>59</v>
      </c>
      <c r="I321" t="s">
        <v>33</v>
      </c>
      <c r="J321">
        <v>2</v>
      </c>
      <c r="K321" t="str">
        <f t="shared" si="13"/>
        <v>0 to 10</v>
      </c>
      <c r="L321" s="1">
        <v>40</v>
      </c>
      <c r="M321" t="s">
        <v>2067</v>
      </c>
      <c r="P321">
        <v>1</v>
      </c>
      <c r="Q321" t="s">
        <v>2076</v>
      </c>
      <c r="R321">
        <v>0.91</v>
      </c>
      <c r="S321" s="2">
        <v>0.91</v>
      </c>
      <c r="T321" s="2" t="str">
        <f t="shared" si="14"/>
        <v>91% to 100%</v>
      </c>
    </row>
    <row r="322" spans="1:21" x14ac:dyDescent="0.3">
      <c r="A322" t="s">
        <v>708</v>
      </c>
      <c r="B322" t="s">
        <v>709</v>
      </c>
      <c r="C322" t="s">
        <v>76</v>
      </c>
      <c r="D322" t="s">
        <v>80</v>
      </c>
      <c r="E322">
        <v>23</v>
      </c>
      <c r="F322" t="str">
        <f t="shared" ref="F322:F385" si="15">IF(OR($E322="",NOT(ISNUMBER($E322))),"",
 IF($E322&lt;=20,"11 to 20",
 IF($E322&lt;=30,"21 to 30",
 IF($E322&lt;=40,"31 to 40",
 IF($E322&lt;=50,"41 to 50",
 IF($E322&lt;=60,"51 to 60"))))))</f>
        <v>21 to 30</v>
      </c>
      <c r="G322" t="s">
        <v>91</v>
      </c>
      <c r="H322" t="s">
        <v>59</v>
      </c>
      <c r="I322" t="s">
        <v>18</v>
      </c>
      <c r="J322">
        <v>0</v>
      </c>
      <c r="K322" t="str">
        <f t="shared" ref="K322:K385" si="16">IF(OR($J322="",NOT(ISNUMBER($J322))),"",
 IF($J322&lt;=10,"0 to 10",
 IF($J322&lt;=20,"11 to 20",
 IF($J322&lt;=30,"21 to 30",
 IF($J322&lt;=40,"31 to 40",
 "40+")))))</f>
        <v>0 to 10</v>
      </c>
      <c r="L322" s="1">
        <v>30</v>
      </c>
      <c r="M322" t="s">
        <v>2069</v>
      </c>
      <c r="O322">
        <v>1.1000000000000001</v>
      </c>
      <c r="P322" t="s">
        <v>19</v>
      </c>
      <c r="Q322" t="s">
        <v>2076</v>
      </c>
      <c r="R322">
        <v>0.86</v>
      </c>
      <c r="S322" s="2">
        <v>0.86</v>
      </c>
      <c r="T322" s="2" t="str">
        <f t="shared" ref="T322:T385" si="17">IF(OR($S322="",NOT(ISNUMBER($S322))),"",
 IF($S322&lt;=0.6,"50% to 60%",
 IF($S322&lt;=0.7,"61% to 70 %",
 IF($S322&lt;=0.8,"71% to 80%",
 IF($S322&lt;=0.9,"81% to 90%",
 IF($S322&lt;=1,"91% to 100%"))))))</f>
        <v>81% to 90%</v>
      </c>
    </row>
    <row r="323" spans="1:21" x14ac:dyDescent="0.3">
      <c r="A323" t="s">
        <v>710</v>
      </c>
      <c r="B323" t="s">
        <v>711</v>
      </c>
      <c r="C323" t="s">
        <v>76</v>
      </c>
      <c r="D323" t="s">
        <v>80</v>
      </c>
      <c r="E323">
        <v>37</v>
      </c>
      <c r="F323" t="str">
        <f t="shared" si="15"/>
        <v>31 to 40</v>
      </c>
      <c r="G323" t="s">
        <v>77</v>
      </c>
      <c r="H323" t="s">
        <v>78</v>
      </c>
      <c r="I323" t="s">
        <v>108</v>
      </c>
      <c r="J323">
        <v>6</v>
      </c>
      <c r="K323" t="str">
        <f t="shared" si="16"/>
        <v>0 to 10</v>
      </c>
      <c r="L323" s="1">
        <v>20</v>
      </c>
      <c r="M323" t="s">
        <v>2072</v>
      </c>
      <c r="R323">
        <v>0.99</v>
      </c>
      <c r="S323" s="2">
        <v>0.99</v>
      </c>
      <c r="T323" s="2" t="str">
        <f t="shared" si="17"/>
        <v>91% to 100%</v>
      </c>
    </row>
    <row r="324" spans="1:21" x14ac:dyDescent="0.3">
      <c r="A324" t="s">
        <v>712</v>
      </c>
      <c r="B324" t="s">
        <v>713</v>
      </c>
      <c r="C324" t="s">
        <v>15</v>
      </c>
      <c r="D324" t="s">
        <v>20</v>
      </c>
      <c r="E324">
        <v>48</v>
      </c>
      <c r="F324" t="str">
        <f t="shared" si="15"/>
        <v>41 to 50</v>
      </c>
      <c r="G324" t="s">
        <v>83</v>
      </c>
      <c r="H324" t="s">
        <v>84</v>
      </c>
      <c r="I324" t="s">
        <v>108</v>
      </c>
      <c r="J324">
        <v>10</v>
      </c>
      <c r="K324" t="str">
        <f t="shared" si="16"/>
        <v>0 to 10</v>
      </c>
      <c r="O324">
        <v>3.1</v>
      </c>
      <c r="P324" t="b">
        <v>0</v>
      </c>
      <c r="Q324" t="s">
        <v>2077</v>
      </c>
      <c r="T324" s="2" t="str">
        <f t="shared" si="17"/>
        <v/>
      </c>
    </row>
    <row r="325" spans="1:21" x14ac:dyDescent="0.3">
      <c r="A325" t="s">
        <v>714</v>
      </c>
      <c r="B325" t="s">
        <v>715</v>
      </c>
      <c r="C325" t="s">
        <v>36</v>
      </c>
      <c r="D325" t="s">
        <v>20</v>
      </c>
      <c r="E325">
        <v>22</v>
      </c>
      <c r="F325" t="str">
        <f t="shared" si="15"/>
        <v>21 to 30</v>
      </c>
      <c r="G325" t="s">
        <v>50</v>
      </c>
      <c r="H325" t="s">
        <v>51</v>
      </c>
      <c r="I325" t="s">
        <v>33</v>
      </c>
      <c r="J325">
        <v>1</v>
      </c>
      <c r="K325" t="str">
        <f t="shared" si="16"/>
        <v>0 to 10</v>
      </c>
      <c r="L325" s="1">
        <v>20</v>
      </c>
      <c r="M325" t="s">
        <v>2072</v>
      </c>
      <c r="O325">
        <v>1.7</v>
      </c>
      <c r="P325" t="s">
        <v>53</v>
      </c>
      <c r="Q325" t="s">
        <v>2077</v>
      </c>
      <c r="R325">
        <v>0.78</v>
      </c>
      <c r="S325" s="2">
        <v>0.78</v>
      </c>
      <c r="T325" s="2" t="str">
        <f t="shared" si="17"/>
        <v>71% to 80%</v>
      </c>
    </row>
    <row r="326" spans="1:21" x14ac:dyDescent="0.3">
      <c r="A326" t="s">
        <v>716</v>
      </c>
      <c r="B326" t="s">
        <v>717</v>
      </c>
      <c r="C326" t="s">
        <v>15</v>
      </c>
      <c r="D326" t="s">
        <v>20</v>
      </c>
      <c r="E326">
        <v>37</v>
      </c>
      <c r="F326" t="str">
        <f t="shared" si="15"/>
        <v>31 to 40</v>
      </c>
      <c r="G326" t="s">
        <v>101</v>
      </c>
      <c r="H326" t="s">
        <v>59</v>
      </c>
      <c r="I326" t="s">
        <v>79</v>
      </c>
      <c r="J326">
        <v>4</v>
      </c>
      <c r="K326" t="str">
        <f t="shared" si="16"/>
        <v>0 to 10</v>
      </c>
      <c r="L326" s="1">
        <v>75</v>
      </c>
      <c r="M326" t="s">
        <v>2066</v>
      </c>
      <c r="O326">
        <v>3.2</v>
      </c>
      <c r="P326" t="b">
        <v>0</v>
      </c>
      <c r="Q326" t="s">
        <v>2077</v>
      </c>
      <c r="R326">
        <v>0.76</v>
      </c>
      <c r="S326" s="2">
        <v>0.76</v>
      </c>
      <c r="T326" s="2" t="str">
        <f t="shared" si="17"/>
        <v>71% to 80%</v>
      </c>
    </row>
    <row r="327" spans="1:21" x14ac:dyDescent="0.3">
      <c r="A327" t="s">
        <v>718</v>
      </c>
      <c r="B327" t="s">
        <v>719</v>
      </c>
      <c r="C327" t="s">
        <v>36</v>
      </c>
      <c r="D327" t="s">
        <v>20</v>
      </c>
      <c r="E327">
        <v>33</v>
      </c>
      <c r="F327" t="str">
        <f t="shared" si="15"/>
        <v>31 to 40</v>
      </c>
      <c r="G327" t="s">
        <v>77</v>
      </c>
      <c r="H327" t="s">
        <v>78</v>
      </c>
      <c r="I327" t="s">
        <v>108</v>
      </c>
      <c r="J327">
        <v>13</v>
      </c>
      <c r="K327" t="str">
        <f t="shared" si="16"/>
        <v>11 to 20</v>
      </c>
      <c r="L327" s="1">
        <v>75</v>
      </c>
      <c r="M327" t="s">
        <v>2068</v>
      </c>
      <c r="N327" t="s">
        <v>2066</v>
      </c>
      <c r="O327">
        <v>0</v>
      </c>
      <c r="P327" t="b">
        <v>1</v>
      </c>
      <c r="Q327" t="s">
        <v>2076</v>
      </c>
      <c r="T327" s="2" t="str">
        <f t="shared" si="17"/>
        <v/>
      </c>
    </row>
    <row r="328" spans="1:21" x14ac:dyDescent="0.3">
      <c r="A328" t="s">
        <v>720</v>
      </c>
      <c r="B328" t="s">
        <v>721</v>
      </c>
      <c r="C328" t="s">
        <v>36</v>
      </c>
      <c r="D328" t="s">
        <v>20</v>
      </c>
      <c r="E328">
        <v>43</v>
      </c>
      <c r="F328" t="str">
        <f t="shared" si="15"/>
        <v>41 to 50</v>
      </c>
      <c r="G328" t="s">
        <v>27</v>
      </c>
      <c r="H328" t="s">
        <v>28</v>
      </c>
      <c r="I328" t="s">
        <v>63</v>
      </c>
      <c r="J328">
        <v>6</v>
      </c>
      <c r="K328" t="str">
        <f t="shared" si="16"/>
        <v>0 to 10</v>
      </c>
      <c r="L328" s="1">
        <v>50</v>
      </c>
      <c r="M328" t="s">
        <v>2071</v>
      </c>
      <c r="O328">
        <v>0</v>
      </c>
      <c r="P328">
        <v>0</v>
      </c>
      <c r="Q328" t="s">
        <v>2077</v>
      </c>
      <c r="R328">
        <v>81</v>
      </c>
      <c r="S328" s="2">
        <v>0.81</v>
      </c>
      <c r="T328" s="2" t="str">
        <f t="shared" si="17"/>
        <v>81% to 90%</v>
      </c>
      <c r="U328">
        <v>0.81</v>
      </c>
    </row>
    <row r="329" spans="1:21" x14ac:dyDescent="0.3">
      <c r="A329" t="s">
        <v>722</v>
      </c>
      <c r="B329" t="s">
        <v>723</v>
      </c>
      <c r="C329" t="s">
        <v>15</v>
      </c>
      <c r="D329" t="s">
        <v>20</v>
      </c>
      <c r="E329">
        <v>47</v>
      </c>
      <c r="F329" t="str">
        <f t="shared" si="15"/>
        <v>41 to 50</v>
      </c>
      <c r="G329" t="s">
        <v>23</v>
      </c>
      <c r="H329" t="s">
        <v>24</v>
      </c>
      <c r="I329" t="s">
        <v>66</v>
      </c>
      <c r="J329">
        <v>8</v>
      </c>
      <c r="K329" t="str">
        <f t="shared" si="16"/>
        <v>0 to 10</v>
      </c>
      <c r="L329" s="1">
        <v>20</v>
      </c>
      <c r="M329" t="s">
        <v>2072</v>
      </c>
      <c r="O329">
        <v>4.5</v>
      </c>
      <c r="P329">
        <v>1</v>
      </c>
      <c r="Q329" t="s">
        <v>2076</v>
      </c>
      <c r="R329">
        <v>0.72</v>
      </c>
      <c r="S329" s="2">
        <v>0.72</v>
      </c>
      <c r="T329" s="2" t="str">
        <f t="shared" si="17"/>
        <v>71% to 80%</v>
      </c>
    </row>
    <row r="330" spans="1:21" x14ac:dyDescent="0.3">
      <c r="A330" t="s">
        <v>724</v>
      </c>
      <c r="B330" t="s">
        <v>725</v>
      </c>
      <c r="C330" t="s">
        <v>111</v>
      </c>
      <c r="D330" t="s">
        <v>80</v>
      </c>
      <c r="E330">
        <v>34</v>
      </c>
      <c r="F330" t="str">
        <f t="shared" si="15"/>
        <v>31 to 40</v>
      </c>
      <c r="G330" t="s">
        <v>37</v>
      </c>
      <c r="H330" t="s">
        <v>38</v>
      </c>
      <c r="I330" t="s">
        <v>63</v>
      </c>
      <c r="J330">
        <v>12</v>
      </c>
      <c r="K330" t="str">
        <f t="shared" si="16"/>
        <v>11 to 20</v>
      </c>
      <c r="L330" s="1">
        <v>20</v>
      </c>
      <c r="M330" t="s">
        <v>2065</v>
      </c>
      <c r="N330" t="s">
        <v>2072</v>
      </c>
      <c r="O330">
        <v>1.6</v>
      </c>
      <c r="P330" t="s">
        <v>19</v>
      </c>
      <c r="Q330" t="s">
        <v>2076</v>
      </c>
      <c r="R330">
        <v>0.64</v>
      </c>
      <c r="S330" s="2">
        <v>0.64</v>
      </c>
      <c r="T330" s="2" t="str">
        <f t="shared" si="17"/>
        <v>61% to 70 %</v>
      </c>
    </row>
    <row r="331" spans="1:21" x14ac:dyDescent="0.3">
      <c r="A331" t="s">
        <v>726</v>
      </c>
      <c r="B331" t="s">
        <v>727</v>
      </c>
      <c r="C331" t="s">
        <v>15</v>
      </c>
      <c r="D331" t="s">
        <v>20</v>
      </c>
      <c r="E331">
        <v>25</v>
      </c>
      <c r="F331" t="str">
        <f t="shared" si="15"/>
        <v>21 to 30</v>
      </c>
      <c r="G331" t="s">
        <v>155</v>
      </c>
      <c r="H331" t="s">
        <v>17</v>
      </c>
      <c r="I331" t="s">
        <v>33</v>
      </c>
      <c r="J331">
        <v>0</v>
      </c>
      <c r="K331" t="str">
        <f t="shared" si="16"/>
        <v>0 to 10</v>
      </c>
      <c r="L331" s="1">
        <v>40</v>
      </c>
      <c r="M331" t="s">
        <v>2067</v>
      </c>
      <c r="O331">
        <v>0</v>
      </c>
      <c r="P331">
        <v>0</v>
      </c>
      <c r="Q331" t="s">
        <v>2077</v>
      </c>
      <c r="R331">
        <v>0.9</v>
      </c>
      <c r="S331" s="2">
        <v>0.9</v>
      </c>
      <c r="T331" s="2" t="str">
        <f t="shared" si="17"/>
        <v>81% to 90%</v>
      </c>
    </row>
    <row r="332" spans="1:21" x14ac:dyDescent="0.3">
      <c r="A332" t="s">
        <v>728</v>
      </c>
      <c r="B332" t="s">
        <v>729</v>
      </c>
      <c r="C332" t="s">
        <v>36</v>
      </c>
      <c r="D332" t="s">
        <v>20</v>
      </c>
      <c r="E332">
        <v>40</v>
      </c>
      <c r="F332" t="str">
        <f t="shared" si="15"/>
        <v>31 to 40</v>
      </c>
      <c r="G332" t="s">
        <v>58</v>
      </c>
      <c r="H332" t="s">
        <v>59</v>
      </c>
      <c r="I332" t="s">
        <v>33</v>
      </c>
      <c r="J332">
        <v>17</v>
      </c>
      <c r="K332" t="str">
        <f t="shared" si="16"/>
        <v>11 to 20</v>
      </c>
      <c r="L332" s="1">
        <v>40</v>
      </c>
      <c r="M332" t="s">
        <v>2067</v>
      </c>
      <c r="O332">
        <v>3.6</v>
      </c>
      <c r="P332" t="s">
        <v>19</v>
      </c>
      <c r="Q332" t="s">
        <v>2076</v>
      </c>
      <c r="R332">
        <v>0.77</v>
      </c>
      <c r="S332" s="2">
        <v>0.77</v>
      </c>
      <c r="T332" s="2" t="str">
        <f t="shared" si="17"/>
        <v>71% to 80%</v>
      </c>
    </row>
    <row r="333" spans="1:21" x14ac:dyDescent="0.3">
      <c r="A333" t="s">
        <v>730</v>
      </c>
      <c r="B333" t="s">
        <v>731</v>
      </c>
      <c r="C333" t="s">
        <v>15</v>
      </c>
      <c r="D333" t="s">
        <v>20</v>
      </c>
      <c r="F333" t="str">
        <f t="shared" si="15"/>
        <v/>
      </c>
      <c r="G333" t="s">
        <v>46</v>
      </c>
      <c r="H333" t="s">
        <v>17</v>
      </c>
      <c r="I333" t="s">
        <v>18</v>
      </c>
      <c r="K333" t="str">
        <f t="shared" si="16"/>
        <v/>
      </c>
      <c r="L333" s="1">
        <v>50</v>
      </c>
      <c r="M333" t="s">
        <v>2065</v>
      </c>
      <c r="N333" t="s">
        <v>2071</v>
      </c>
      <c r="O333">
        <v>2.1</v>
      </c>
      <c r="P333">
        <v>1</v>
      </c>
      <c r="Q333" t="s">
        <v>2076</v>
      </c>
      <c r="R333">
        <v>0.82</v>
      </c>
      <c r="S333" s="2">
        <v>0.82</v>
      </c>
      <c r="T333" s="2" t="str">
        <f t="shared" si="17"/>
        <v>81% to 90%</v>
      </c>
    </row>
    <row r="334" spans="1:21" x14ac:dyDescent="0.3">
      <c r="A334" t="s">
        <v>732</v>
      </c>
      <c r="B334" t="s">
        <v>733</v>
      </c>
      <c r="C334" t="s">
        <v>36</v>
      </c>
      <c r="D334" t="s">
        <v>20</v>
      </c>
      <c r="E334">
        <v>20</v>
      </c>
      <c r="F334" t="str">
        <f t="shared" si="15"/>
        <v>11 to 20</v>
      </c>
      <c r="G334" t="s">
        <v>50</v>
      </c>
      <c r="H334" t="s">
        <v>51</v>
      </c>
      <c r="I334" t="s">
        <v>39</v>
      </c>
      <c r="J334">
        <v>2</v>
      </c>
      <c r="K334" t="str">
        <f t="shared" si="16"/>
        <v>0 to 10</v>
      </c>
      <c r="L334" s="1">
        <v>30</v>
      </c>
      <c r="M334" t="s">
        <v>2068</v>
      </c>
      <c r="N334" t="s">
        <v>2069</v>
      </c>
      <c r="O334">
        <v>1.7</v>
      </c>
      <c r="P334" t="b">
        <v>1</v>
      </c>
      <c r="Q334" t="s">
        <v>2076</v>
      </c>
      <c r="R334">
        <v>0.6</v>
      </c>
      <c r="S334" s="2">
        <v>0.6</v>
      </c>
      <c r="T334" s="2" t="str">
        <f t="shared" si="17"/>
        <v>50% to 60%</v>
      </c>
    </row>
    <row r="335" spans="1:21" x14ac:dyDescent="0.3">
      <c r="A335" t="s">
        <v>734</v>
      </c>
      <c r="B335" t="s">
        <v>735</v>
      </c>
      <c r="C335" t="s">
        <v>36</v>
      </c>
      <c r="D335" t="s">
        <v>20</v>
      </c>
      <c r="E335">
        <v>51</v>
      </c>
      <c r="F335" t="str">
        <f t="shared" si="15"/>
        <v>51 to 60</v>
      </c>
      <c r="G335" t="s">
        <v>91</v>
      </c>
      <c r="H335" t="s">
        <v>59</v>
      </c>
      <c r="I335" t="s">
        <v>18</v>
      </c>
      <c r="J335">
        <v>19</v>
      </c>
      <c r="K335" t="str">
        <f t="shared" si="16"/>
        <v>11 to 20</v>
      </c>
      <c r="L335" s="1">
        <v>50</v>
      </c>
      <c r="M335" t="s">
        <v>2071</v>
      </c>
      <c r="P335" t="s">
        <v>96</v>
      </c>
      <c r="Q335" t="s">
        <v>2076</v>
      </c>
      <c r="R335">
        <v>0.82</v>
      </c>
      <c r="S335" s="2">
        <v>0.82</v>
      </c>
      <c r="T335" s="2" t="str">
        <f t="shared" si="17"/>
        <v>81% to 90%</v>
      </c>
    </row>
    <row r="336" spans="1:21" x14ac:dyDescent="0.3">
      <c r="A336" t="s">
        <v>736</v>
      </c>
      <c r="B336" t="s">
        <v>737</v>
      </c>
      <c r="C336" t="s">
        <v>111</v>
      </c>
      <c r="D336" t="s">
        <v>80</v>
      </c>
      <c r="E336">
        <v>49</v>
      </c>
      <c r="F336" t="str">
        <f t="shared" si="15"/>
        <v>41 to 50</v>
      </c>
      <c r="G336" t="s">
        <v>155</v>
      </c>
      <c r="H336" t="s">
        <v>17</v>
      </c>
      <c r="I336" t="s">
        <v>39</v>
      </c>
      <c r="J336">
        <v>24</v>
      </c>
      <c r="K336" t="str">
        <f t="shared" si="16"/>
        <v>21 to 30</v>
      </c>
      <c r="L336" s="1">
        <v>50</v>
      </c>
      <c r="M336" t="s">
        <v>2065</v>
      </c>
      <c r="N336" t="s">
        <v>2071</v>
      </c>
      <c r="O336">
        <v>0</v>
      </c>
      <c r="P336">
        <v>0</v>
      </c>
      <c r="Q336" t="s">
        <v>2077</v>
      </c>
      <c r="R336">
        <v>0.94</v>
      </c>
      <c r="S336" s="2">
        <v>0.94</v>
      </c>
      <c r="T336" s="2" t="str">
        <f t="shared" si="17"/>
        <v>91% to 100%</v>
      </c>
    </row>
    <row r="337" spans="1:21" x14ac:dyDescent="0.3">
      <c r="A337" t="s">
        <v>738</v>
      </c>
      <c r="B337" t="s">
        <v>739</v>
      </c>
      <c r="C337" t="s">
        <v>76</v>
      </c>
      <c r="D337" t="s">
        <v>80</v>
      </c>
      <c r="E337">
        <v>60</v>
      </c>
      <c r="F337" t="str">
        <f t="shared" si="15"/>
        <v>51 to 60</v>
      </c>
      <c r="G337" t="s">
        <v>158</v>
      </c>
      <c r="H337" t="s">
        <v>159</v>
      </c>
      <c r="I337" t="s">
        <v>63</v>
      </c>
      <c r="J337">
        <v>38</v>
      </c>
      <c r="K337" t="str">
        <f t="shared" si="16"/>
        <v>31 to 40</v>
      </c>
      <c r="L337" s="1">
        <v>20</v>
      </c>
      <c r="M337" t="s">
        <v>2065</v>
      </c>
      <c r="N337" t="s">
        <v>2072</v>
      </c>
      <c r="O337">
        <v>2</v>
      </c>
      <c r="P337" t="s">
        <v>67</v>
      </c>
      <c r="Q337" t="s">
        <v>2077</v>
      </c>
      <c r="R337">
        <v>0.71</v>
      </c>
      <c r="S337" s="2">
        <v>0.71</v>
      </c>
      <c r="T337" s="2" t="str">
        <f t="shared" si="17"/>
        <v>71% to 80%</v>
      </c>
    </row>
    <row r="338" spans="1:21" x14ac:dyDescent="0.3">
      <c r="A338" t="s">
        <v>740</v>
      </c>
      <c r="B338" t="s">
        <v>741</v>
      </c>
      <c r="C338" t="s">
        <v>76</v>
      </c>
      <c r="D338" t="s">
        <v>80</v>
      </c>
      <c r="E338">
        <v>35</v>
      </c>
      <c r="F338" t="str">
        <f t="shared" si="15"/>
        <v>31 to 40</v>
      </c>
      <c r="G338" t="s">
        <v>118</v>
      </c>
      <c r="H338" t="s">
        <v>119</v>
      </c>
      <c r="I338" t="s">
        <v>60</v>
      </c>
      <c r="J338">
        <v>7</v>
      </c>
      <c r="K338" t="str">
        <f t="shared" si="16"/>
        <v>0 to 10</v>
      </c>
      <c r="O338">
        <v>3.9</v>
      </c>
      <c r="P338">
        <v>0</v>
      </c>
      <c r="Q338" t="s">
        <v>2077</v>
      </c>
      <c r="R338">
        <v>0.72</v>
      </c>
      <c r="S338" s="2">
        <v>0.72</v>
      </c>
      <c r="T338" s="2" t="str">
        <f t="shared" si="17"/>
        <v>71% to 80%</v>
      </c>
    </row>
    <row r="339" spans="1:21" x14ac:dyDescent="0.3">
      <c r="A339" t="s">
        <v>742</v>
      </c>
      <c r="B339" t="s">
        <v>743</v>
      </c>
      <c r="C339" t="s">
        <v>111</v>
      </c>
      <c r="D339" t="s">
        <v>80</v>
      </c>
      <c r="E339">
        <v>33</v>
      </c>
      <c r="F339" t="str">
        <f t="shared" si="15"/>
        <v>31 to 40</v>
      </c>
      <c r="G339" t="s">
        <v>31</v>
      </c>
      <c r="H339" t="s">
        <v>32</v>
      </c>
      <c r="I339" t="s">
        <v>47</v>
      </c>
      <c r="J339">
        <v>13</v>
      </c>
      <c r="K339" t="str">
        <f t="shared" si="16"/>
        <v>11 to 20</v>
      </c>
      <c r="L339" s="1">
        <v>20</v>
      </c>
      <c r="M339" t="s">
        <v>2072</v>
      </c>
      <c r="O339">
        <v>3.2</v>
      </c>
      <c r="P339" t="b">
        <v>0</v>
      </c>
      <c r="Q339" t="s">
        <v>2077</v>
      </c>
      <c r="T339" s="2" t="str">
        <f t="shared" si="17"/>
        <v/>
      </c>
    </row>
    <row r="340" spans="1:21" x14ac:dyDescent="0.3">
      <c r="A340" t="s">
        <v>744</v>
      </c>
      <c r="B340" t="s">
        <v>745</v>
      </c>
      <c r="C340" t="s">
        <v>36</v>
      </c>
      <c r="D340" t="s">
        <v>20</v>
      </c>
      <c r="E340">
        <v>57</v>
      </c>
      <c r="F340" t="str">
        <f t="shared" si="15"/>
        <v>51 to 60</v>
      </c>
      <c r="G340" t="s">
        <v>254</v>
      </c>
      <c r="H340" t="s">
        <v>255</v>
      </c>
      <c r="I340" t="s">
        <v>39</v>
      </c>
      <c r="J340">
        <v>31</v>
      </c>
      <c r="K340" t="str">
        <f t="shared" si="16"/>
        <v>31 to 40</v>
      </c>
      <c r="L340" s="1">
        <v>50</v>
      </c>
      <c r="M340" t="s">
        <v>2071</v>
      </c>
      <c r="O340">
        <v>3</v>
      </c>
      <c r="P340" t="b">
        <v>1</v>
      </c>
      <c r="Q340" t="s">
        <v>2076</v>
      </c>
      <c r="R340">
        <v>0.87</v>
      </c>
      <c r="S340" s="2">
        <v>0.87</v>
      </c>
      <c r="T340" s="2" t="str">
        <f t="shared" si="17"/>
        <v>81% to 90%</v>
      </c>
    </row>
    <row r="341" spans="1:21" x14ac:dyDescent="0.3">
      <c r="A341" t="s">
        <v>746</v>
      </c>
      <c r="B341" t="s">
        <v>747</v>
      </c>
      <c r="C341" t="s">
        <v>15</v>
      </c>
      <c r="D341" t="s">
        <v>20</v>
      </c>
      <c r="E341">
        <v>59</v>
      </c>
      <c r="F341" t="str">
        <f t="shared" si="15"/>
        <v>51 to 60</v>
      </c>
      <c r="G341" t="s">
        <v>58</v>
      </c>
      <c r="H341" t="s">
        <v>59</v>
      </c>
      <c r="I341" t="s">
        <v>66</v>
      </c>
      <c r="J341">
        <v>29</v>
      </c>
      <c r="K341" t="str">
        <f t="shared" si="16"/>
        <v>21 to 30</v>
      </c>
      <c r="L341" s="1">
        <v>75</v>
      </c>
      <c r="M341" t="s">
        <v>2068</v>
      </c>
      <c r="N341" t="s">
        <v>2066</v>
      </c>
      <c r="P341">
        <v>0</v>
      </c>
      <c r="Q341" t="s">
        <v>2077</v>
      </c>
      <c r="R341">
        <v>0.8</v>
      </c>
      <c r="S341" s="2">
        <v>0.8</v>
      </c>
      <c r="T341" s="2" t="str">
        <f t="shared" si="17"/>
        <v>71% to 80%</v>
      </c>
    </row>
    <row r="342" spans="1:21" x14ac:dyDescent="0.3">
      <c r="A342" t="s">
        <v>748</v>
      </c>
      <c r="B342" t="s">
        <v>749</v>
      </c>
      <c r="C342" t="s">
        <v>36</v>
      </c>
      <c r="D342" t="s">
        <v>20</v>
      </c>
      <c r="E342">
        <v>45</v>
      </c>
      <c r="F342" t="str">
        <f t="shared" si="15"/>
        <v>41 to 50</v>
      </c>
      <c r="G342" t="s">
        <v>23</v>
      </c>
      <c r="H342" t="s">
        <v>24</v>
      </c>
      <c r="I342" t="s">
        <v>33</v>
      </c>
      <c r="J342">
        <v>19</v>
      </c>
      <c r="K342" t="str">
        <f t="shared" si="16"/>
        <v>11 to 20</v>
      </c>
      <c r="L342" s="1">
        <v>40</v>
      </c>
      <c r="M342" t="s">
        <v>2065</v>
      </c>
      <c r="N342" t="s">
        <v>2067</v>
      </c>
      <c r="O342">
        <v>2.2000000000000002</v>
      </c>
      <c r="P342">
        <v>1</v>
      </c>
      <c r="Q342" t="s">
        <v>2076</v>
      </c>
      <c r="R342">
        <v>0.78</v>
      </c>
      <c r="S342" s="2">
        <v>0.78</v>
      </c>
      <c r="T342" s="2" t="str">
        <f t="shared" si="17"/>
        <v>71% to 80%</v>
      </c>
    </row>
    <row r="343" spans="1:21" x14ac:dyDescent="0.3">
      <c r="A343" t="s">
        <v>750</v>
      </c>
      <c r="B343" t="s">
        <v>751</v>
      </c>
      <c r="C343" t="s">
        <v>36</v>
      </c>
      <c r="D343" t="s">
        <v>20</v>
      </c>
      <c r="E343">
        <v>47</v>
      </c>
      <c r="F343" t="str">
        <f t="shared" si="15"/>
        <v>41 to 50</v>
      </c>
      <c r="G343" t="s">
        <v>139</v>
      </c>
      <c r="H343" t="s">
        <v>59</v>
      </c>
      <c r="I343" t="s">
        <v>63</v>
      </c>
      <c r="J343">
        <v>4</v>
      </c>
      <c r="K343" t="str">
        <f t="shared" si="16"/>
        <v>0 to 10</v>
      </c>
      <c r="L343" s="1">
        <v>20</v>
      </c>
      <c r="M343" t="s">
        <v>2068</v>
      </c>
      <c r="N343" t="s">
        <v>2072</v>
      </c>
      <c r="O343">
        <v>4.2</v>
      </c>
      <c r="R343">
        <v>0.82</v>
      </c>
      <c r="S343" s="2">
        <v>0.82</v>
      </c>
      <c r="T343" s="2" t="str">
        <f t="shared" si="17"/>
        <v>81% to 90%</v>
      </c>
    </row>
    <row r="344" spans="1:21" x14ac:dyDescent="0.3">
      <c r="A344" t="s">
        <v>752</v>
      </c>
      <c r="B344" t="s">
        <v>753</v>
      </c>
      <c r="C344" t="s">
        <v>36</v>
      </c>
      <c r="D344" t="s">
        <v>20</v>
      </c>
      <c r="E344">
        <v>26</v>
      </c>
      <c r="F344" t="str">
        <f t="shared" si="15"/>
        <v>21 to 30</v>
      </c>
      <c r="G344" t="s">
        <v>104</v>
      </c>
      <c r="H344" t="s">
        <v>105</v>
      </c>
      <c r="I344" t="s">
        <v>108</v>
      </c>
      <c r="J344">
        <v>6</v>
      </c>
      <c r="K344" t="str">
        <f t="shared" si="16"/>
        <v>0 to 10</v>
      </c>
      <c r="L344" s="1">
        <v>100</v>
      </c>
      <c r="M344" t="s">
        <v>2068</v>
      </c>
      <c r="N344" t="s">
        <v>2070</v>
      </c>
      <c r="P344" t="s">
        <v>67</v>
      </c>
      <c r="Q344" t="s">
        <v>2077</v>
      </c>
      <c r="R344">
        <v>0.69</v>
      </c>
      <c r="S344" s="2">
        <v>0.69</v>
      </c>
      <c r="T344" s="2" t="str">
        <f t="shared" si="17"/>
        <v>61% to 70 %</v>
      </c>
    </row>
    <row r="345" spans="1:21" x14ac:dyDescent="0.3">
      <c r="A345" t="s">
        <v>754</v>
      </c>
      <c r="B345" t="s">
        <v>755</v>
      </c>
      <c r="C345" t="s">
        <v>111</v>
      </c>
      <c r="D345" t="s">
        <v>80</v>
      </c>
      <c r="E345">
        <v>42</v>
      </c>
      <c r="F345" t="str">
        <f t="shared" si="15"/>
        <v>41 to 50</v>
      </c>
      <c r="G345" t="s">
        <v>27</v>
      </c>
      <c r="H345" t="s">
        <v>28</v>
      </c>
      <c r="I345" t="s">
        <v>79</v>
      </c>
      <c r="J345">
        <v>13</v>
      </c>
      <c r="K345" t="str">
        <f t="shared" si="16"/>
        <v>11 to 20</v>
      </c>
      <c r="L345" s="1">
        <v>30</v>
      </c>
      <c r="M345" t="s">
        <v>2069</v>
      </c>
      <c r="O345">
        <v>3.3</v>
      </c>
      <c r="R345">
        <v>0.63</v>
      </c>
      <c r="S345" s="2">
        <v>0.63</v>
      </c>
      <c r="T345" s="2" t="str">
        <f t="shared" si="17"/>
        <v>61% to 70 %</v>
      </c>
    </row>
    <row r="346" spans="1:21" x14ac:dyDescent="0.3">
      <c r="A346" t="s">
        <v>756</v>
      </c>
      <c r="B346" t="s">
        <v>757</v>
      </c>
      <c r="C346" t="s">
        <v>76</v>
      </c>
      <c r="D346" t="s">
        <v>80</v>
      </c>
      <c r="E346">
        <v>26</v>
      </c>
      <c r="F346" t="str">
        <f t="shared" si="15"/>
        <v>21 to 30</v>
      </c>
      <c r="G346" t="s">
        <v>158</v>
      </c>
      <c r="H346" t="s">
        <v>159</v>
      </c>
      <c r="I346" t="s">
        <v>63</v>
      </c>
      <c r="J346">
        <v>4</v>
      </c>
      <c r="K346" t="str">
        <f t="shared" si="16"/>
        <v>0 to 10</v>
      </c>
      <c r="L346" s="1">
        <v>100</v>
      </c>
      <c r="M346" t="s">
        <v>2068</v>
      </c>
      <c r="N346" t="s">
        <v>2070</v>
      </c>
      <c r="O346">
        <v>3.6</v>
      </c>
      <c r="P346" t="s">
        <v>67</v>
      </c>
      <c r="Q346" t="s">
        <v>2077</v>
      </c>
      <c r="R346">
        <v>0.81</v>
      </c>
      <c r="S346" s="2">
        <v>0.81</v>
      </c>
      <c r="T346" s="2" t="str">
        <f t="shared" si="17"/>
        <v>81% to 90%</v>
      </c>
    </row>
    <row r="347" spans="1:21" x14ac:dyDescent="0.3">
      <c r="A347" t="s">
        <v>758</v>
      </c>
      <c r="B347" t="s">
        <v>759</v>
      </c>
      <c r="C347" t="s">
        <v>76</v>
      </c>
      <c r="D347" t="s">
        <v>80</v>
      </c>
      <c r="E347">
        <v>29</v>
      </c>
      <c r="F347" t="str">
        <f t="shared" si="15"/>
        <v>21 to 30</v>
      </c>
      <c r="G347" t="s">
        <v>42</v>
      </c>
      <c r="H347" t="s">
        <v>43</v>
      </c>
      <c r="I347" t="s">
        <v>79</v>
      </c>
      <c r="J347">
        <v>0</v>
      </c>
      <c r="K347" t="str">
        <f t="shared" si="16"/>
        <v>0 to 10</v>
      </c>
      <c r="L347" s="1">
        <v>20</v>
      </c>
      <c r="M347" t="s">
        <v>2065</v>
      </c>
      <c r="N347" t="s">
        <v>2072</v>
      </c>
      <c r="P347">
        <v>1</v>
      </c>
      <c r="Q347" t="s">
        <v>2076</v>
      </c>
      <c r="R347">
        <v>0.99</v>
      </c>
      <c r="S347" s="2">
        <v>0.99</v>
      </c>
      <c r="T347" s="2" t="str">
        <f t="shared" si="17"/>
        <v>91% to 100%</v>
      </c>
    </row>
    <row r="348" spans="1:21" x14ac:dyDescent="0.3">
      <c r="A348" t="s">
        <v>760</v>
      </c>
      <c r="B348" t="s">
        <v>761</v>
      </c>
      <c r="C348" t="s">
        <v>76</v>
      </c>
      <c r="D348" t="s">
        <v>80</v>
      </c>
      <c r="E348">
        <v>28</v>
      </c>
      <c r="F348" t="str">
        <f t="shared" si="15"/>
        <v>21 to 30</v>
      </c>
      <c r="G348" t="s">
        <v>83</v>
      </c>
      <c r="H348" t="s">
        <v>84</v>
      </c>
      <c r="I348" t="s">
        <v>66</v>
      </c>
      <c r="J348">
        <v>8</v>
      </c>
      <c r="K348" t="str">
        <f t="shared" si="16"/>
        <v>0 to 10</v>
      </c>
      <c r="L348" s="1">
        <v>50</v>
      </c>
      <c r="M348" t="s">
        <v>2068</v>
      </c>
      <c r="N348" t="s">
        <v>2071</v>
      </c>
      <c r="O348">
        <v>2.5</v>
      </c>
      <c r="P348" t="b">
        <v>1</v>
      </c>
      <c r="Q348" t="s">
        <v>2076</v>
      </c>
      <c r="R348">
        <v>0.95</v>
      </c>
      <c r="S348" s="2">
        <v>0.95</v>
      </c>
      <c r="T348" s="2" t="str">
        <f t="shared" si="17"/>
        <v>91% to 100%</v>
      </c>
    </row>
    <row r="349" spans="1:21" x14ac:dyDescent="0.3">
      <c r="A349" t="s">
        <v>762</v>
      </c>
      <c r="B349" t="s">
        <v>763</v>
      </c>
      <c r="C349" t="s">
        <v>76</v>
      </c>
      <c r="D349" t="s">
        <v>80</v>
      </c>
      <c r="E349">
        <v>25</v>
      </c>
      <c r="F349" t="str">
        <f t="shared" si="15"/>
        <v>21 to 30</v>
      </c>
      <c r="G349" t="s">
        <v>77</v>
      </c>
      <c r="H349" t="s">
        <v>78</v>
      </c>
      <c r="I349" t="s">
        <v>47</v>
      </c>
      <c r="J349">
        <v>3</v>
      </c>
      <c r="K349" t="str">
        <f t="shared" si="16"/>
        <v>0 to 10</v>
      </c>
      <c r="L349" s="1">
        <v>50</v>
      </c>
      <c r="M349" t="s">
        <v>2065</v>
      </c>
      <c r="N349" t="s">
        <v>2071</v>
      </c>
      <c r="O349">
        <v>2.8</v>
      </c>
      <c r="P349" t="s">
        <v>19</v>
      </c>
      <c r="Q349" t="s">
        <v>2076</v>
      </c>
      <c r="R349">
        <v>86</v>
      </c>
      <c r="S349" s="2">
        <v>0.86</v>
      </c>
      <c r="T349" s="2" t="str">
        <f t="shared" si="17"/>
        <v>81% to 90%</v>
      </c>
      <c r="U349">
        <v>0.86</v>
      </c>
    </row>
    <row r="350" spans="1:21" x14ac:dyDescent="0.3">
      <c r="A350" t="s">
        <v>764</v>
      </c>
      <c r="B350" t="s">
        <v>765</v>
      </c>
      <c r="C350" t="s">
        <v>111</v>
      </c>
      <c r="D350" t="s">
        <v>80</v>
      </c>
      <c r="E350">
        <v>54</v>
      </c>
      <c r="F350" t="str">
        <f t="shared" si="15"/>
        <v>51 to 60</v>
      </c>
      <c r="G350" t="s">
        <v>50</v>
      </c>
      <c r="H350" t="s">
        <v>51</v>
      </c>
      <c r="I350" t="s">
        <v>52</v>
      </c>
      <c r="J350">
        <v>19</v>
      </c>
      <c r="K350" t="str">
        <f t="shared" si="16"/>
        <v>11 to 20</v>
      </c>
      <c r="L350" s="1">
        <v>30</v>
      </c>
      <c r="M350" t="s">
        <v>2068</v>
      </c>
      <c r="N350" t="s">
        <v>2069</v>
      </c>
      <c r="O350">
        <v>4</v>
      </c>
      <c r="R350">
        <v>0.9</v>
      </c>
      <c r="S350" s="2">
        <v>0.9</v>
      </c>
      <c r="T350" s="2" t="str">
        <f t="shared" si="17"/>
        <v>81% to 90%</v>
      </c>
    </row>
    <row r="351" spans="1:21" x14ac:dyDescent="0.3">
      <c r="A351" t="s">
        <v>766</v>
      </c>
      <c r="B351" t="s">
        <v>767</v>
      </c>
      <c r="C351" t="s">
        <v>76</v>
      </c>
      <c r="D351" t="s">
        <v>80</v>
      </c>
      <c r="E351">
        <v>36</v>
      </c>
      <c r="F351" t="str">
        <f t="shared" si="15"/>
        <v>31 to 40</v>
      </c>
      <c r="G351" t="s">
        <v>77</v>
      </c>
      <c r="H351" t="s">
        <v>78</v>
      </c>
      <c r="I351" t="s">
        <v>47</v>
      </c>
      <c r="J351">
        <v>9</v>
      </c>
      <c r="K351" t="str">
        <f t="shared" si="16"/>
        <v>0 to 10</v>
      </c>
      <c r="L351" s="1">
        <v>30</v>
      </c>
      <c r="M351" t="s">
        <v>2065</v>
      </c>
      <c r="N351" t="s">
        <v>2069</v>
      </c>
      <c r="O351">
        <v>0</v>
      </c>
      <c r="P351" t="s">
        <v>19</v>
      </c>
      <c r="Q351" t="s">
        <v>2076</v>
      </c>
      <c r="R351">
        <v>0.78</v>
      </c>
      <c r="S351" s="2">
        <v>0.78</v>
      </c>
      <c r="T351" s="2" t="str">
        <f t="shared" si="17"/>
        <v>71% to 80%</v>
      </c>
    </row>
    <row r="352" spans="1:21" x14ac:dyDescent="0.3">
      <c r="A352" t="s">
        <v>768</v>
      </c>
      <c r="B352" t="s">
        <v>769</v>
      </c>
      <c r="C352" t="s">
        <v>76</v>
      </c>
      <c r="D352" t="s">
        <v>80</v>
      </c>
      <c r="E352">
        <v>51</v>
      </c>
      <c r="F352" t="str">
        <f t="shared" si="15"/>
        <v>51 to 60</v>
      </c>
      <c r="G352" t="s">
        <v>42</v>
      </c>
      <c r="H352" t="s">
        <v>43</v>
      </c>
      <c r="I352" t="s">
        <v>39</v>
      </c>
      <c r="J352">
        <v>17</v>
      </c>
      <c r="K352" t="str">
        <f t="shared" si="16"/>
        <v>11 to 20</v>
      </c>
      <c r="L352" s="1">
        <v>100</v>
      </c>
      <c r="M352" t="s">
        <v>2070</v>
      </c>
      <c r="O352">
        <v>3</v>
      </c>
      <c r="P352" t="b">
        <v>0</v>
      </c>
      <c r="Q352" t="s">
        <v>2077</v>
      </c>
      <c r="R352">
        <v>0.79</v>
      </c>
      <c r="S352" s="2">
        <v>0.79</v>
      </c>
      <c r="T352" s="2" t="str">
        <f t="shared" si="17"/>
        <v>71% to 80%</v>
      </c>
    </row>
    <row r="353" spans="1:21" x14ac:dyDescent="0.3">
      <c r="A353" t="s">
        <v>770</v>
      </c>
      <c r="B353" t="s">
        <v>771</v>
      </c>
      <c r="C353" t="s">
        <v>111</v>
      </c>
      <c r="D353" t="s">
        <v>80</v>
      </c>
      <c r="E353">
        <v>42</v>
      </c>
      <c r="F353" t="str">
        <f t="shared" si="15"/>
        <v>41 to 50</v>
      </c>
      <c r="G353" t="s">
        <v>155</v>
      </c>
      <c r="H353" t="s">
        <v>17</v>
      </c>
      <c r="I353" t="s">
        <v>39</v>
      </c>
      <c r="K353" t="str">
        <f t="shared" si="16"/>
        <v/>
      </c>
      <c r="L353" s="1">
        <v>50</v>
      </c>
      <c r="M353" t="s">
        <v>2065</v>
      </c>
      <c r="N353" t="s">
        <v>2071</v>
      </c>
      <c r="O353">
        <v>4.2</v>
      </c>
      <c r="R353">
        <v>0.96</v>
      </c>
      <c r="S353" s="2">
        <v>0.96</v>
      </c>
      <c r="T353" s="2" t="str">
        <f t="shared" si="17"/>
        <v>91% to 100%</v>
      </c>
    </row>
    <row r="354" spans="1:21" x14ac:dyDescent="0.3">
      <c r="A354" t="s">
        <v>772</v>
      </c>
      <c r="B354" t="s">
        <v>773</v>
      </c>
      <c r="C354" t="s">
        <v>36</v>
      </c>
      <c r="D354" t="s">
        <v>20</v>
      </c>
      <c r="E354">
        <v>24</v>
      </c>
      <c r="F354" t="str">
        <f t="shared" si="15"/>
        <v>21 to 30</v>
      </c>
      <c r="G354" t="s">
        <v>37</v>
      </c>
      <c r="H354" t="s">
        <v>38</v>
      </c>
      <c r="I354" t="s">
        <v>79</v>
      </c>
      <c r="J354">
        <v>2</v>
      </c>
      <c r="K354" t="str">
        <f t="shared" si="16"/>
        <v>0 to 10</v>
      </c>
      <c r="O354">
        <v>1.6</v>
      </c>
      <c r="P354" t="s">
        <v>67</v>
      </c>
      <c r="Q354" t="s">
        <v>2077</v>
      </c>
      <c r="R354">
        <v>1</v>
      </c>
      <c r="S354" s="2">
        <v>1</v>
      </c>
      <c r="T354" s="2" t="str">
        <f t="shared" si="17"/>
        <v>91% to 100%</v>
      </c>
    </row>
    <row r="355" spans="1:21" x14ac:dyDescent="0.3">
      <c r="A355" t="s">
        <v>774</v>
      </c>
      <c r="B355" t="s">
        <v>775</v>
      </c>
      <c r="C355" t="s">
        <v>76</v>
      </c>
      <c r="D355" t="s">
        <v>80</v>
      </c>
      <c r="E355">
        <v>46</v>
      </c>
      <c r="F355" t="str">
        <f t="shared" si="15"/>
        <v>41 to 50</v>
      </c>
      <c r="G355" t="s">
        <v>158</v>
      </c>
      <c r="H355" t="s">
        <v>159</v>
      </c>
      <c r="I355" t="s">
        <v>66</v>
      </c>
      <c r="J355">
        <v>5</v>
      </c>
      <c r="K355" t="str">
        <f t="shared" si="16"/>
        <v>0 to 10</v>
      </c>
      <c r="L355" s="1">
        <v>30</v>
      </c>
      <c r="M355" t="s">
        <v>2068</v>
      </c>
      <c r="N355" t="s">
        <v>2069</v>
      </c>
      <c r="O355">
        <v>2</v>
      </c>
      <c r="P355" t="s">
        <v>19</v>
      </c>
      <c r="Q355" t="s">
        <v>2076</v>
      </c>
      <c r="R355">
        <v>0.64</v>
      </c>
      <c r="S355" s="2">
        <v>0.64</v>
      </c>
      <c r="T355" s="2" t="str">
        <f t="shared" si="17"/>
        <v>61% to 70 %</v>
      </c>
    </row>
    <row r="356" spans="1:21" x14ac:dyDescent="0.3">
      <c r="A356" t="s">
        <v>776</v>
      </c>
      <c r="B356" t="s">
        <v>777</v>
      </c>
      <c r="C356" t="s">
        <v>76</v>
      </c>
      <c r="D356" t="s">
        <v>80</v>
      </c>
      <c r="E356">
        <v>55</v>
      </c>
      <c r="F356" t="str">
        <f t="shared" si="15"/>
        <v>51 to 60</v>
      </c>
      <c r="G356" t="s">
        <v>158</v>
      </c>
      <c r="H356" t="s">
        <v>159</v>
      </c>
      <c r="I356" t="s">
        <v>47</v>
      </c>
      <c r="J356">
        <v>7</v>
      </c>
      <c r="K356" t="str">
        <f t="shared" si="16"/>
        <v>0 to 10</v>
      </c>
      <c r="L356" s="1">
        <v>100</v>
      </c>
      <c r="M356" t="s">
        <v>2070</v>
      </c>
      <c r="O356">
        <v>1.7</v>
      </c>
      <c r="P356">
        <v>1</v>
      </c>
      <c r="Q356" t="s">
        <v>2076</v>
      </c>
      <c r="R356">
        <v>0.8</v>
      </c>
      <c r="S356" s="2">
        <v>0.8</v>
      </c>
      <c r="T356" s="2" t="str">
        <f t="shared" si="17"/>
        <v>71% to 80%</v>
      </c>
    </row>
    <row r="357" spans="1:21" x14ac:dyDescent="0.3">
      <c r="A357" t="s">
        <v>778</v>
      </c>
      <c r="B357" t="s">
        <v>779</v>
      </c>
      <c r="C357" t="s">
        <v>15</v>
      </c>
      <c r="D357" t="s">
        <v>20</v>
      </c>
      <c r="E357">
        <v>50</v>
      </c>
      <c r="F357" t="str">
        <f t="shared" si="15"/>
        <v>41 to 50</v>
      </c>
      <c r="G357" t="s">
        <v>155</v>
      </c>
      <c r="H357" t="s">
        <v>17</v>
      </c>
      <c r="I357" t="s">
        <v>33</v>
      </c>
      <c r="J357">
        <v>6</v>
      </c>
      <c r="K357" t="str">
        <f t="shared" si="16"/>
        <v>0 to 10</v>
      </c>
      <c r="L357" s="1">
        <v>30</v>
      </c>
      <c r="M357" t="s">
        <v>2069</v>
      </c>
      <c r="O357">
        <v>2.2000000000000002</v>
      </c>
      <c r="P357">
        <v>1</v>
      </c>
      <c r="Q357" t="s">
        <v>2076</v>
      </c>
      <c r="R357">
        <v>0.95</v>
      </c>
      <c r="S357" s="2">
        <v>0.95</v>
      </c>
      <c r="T357" s="2" t="str">
        <f t="shared" si="17"/>
        <v>91% to 100%</v>
      </c>
    </row>
    <row r="358" spans="1:21" x14ac:dyDescent="0.3">
      <c r="A358" t="s">
        <v>780</v>
      </c>
      <c r="B358" t="s">
        <v>781</v>
      </c>
      <c r="C358" t="s">
        <v>36</v>
      </c>
      <c r="D358" t="s">
        <v>20</v>
      </c>
      <c r="E358">
        <v>60</v>
      </c>
      <c r="F358" t="str">
        <f t="shared" si="15"/>
        <v>51 to 60</v>
      </c>
      <c r="G358" t="s">
        <v>83</v>
      </c>
      <c r="H358" t="s">
        <v>84</v>
      </c>
      <c r="I358" t="s">
        <v>63</v>
      </c>
      <c r="J358">
        <v>0</v>
      </c>
      <c r="K358" t="str">
        <f t="shared" si="16"/>
        <v>0 to 10</v>
      </c>
      <c r="L358" s="1">
        <v>40</v>
      </c>
      <c r="M358" t="s">
        <v>2067</v>
      </c>
      <c r="O358">
        <v>4.9000000000000004</v>
      </c>
      <c r="P358" t="s">
        <v>96</v>
      </c>
      <c r="Q358" t="s">
        <v>2076</v>
      </c>
      <c r="R358">
        <v>0.68</v>
      </c>
      <c r="S358" s="2">
        <v>0.68</v>
      </c>
      <c r="T358" s="2" t="str">
        <f t="shared" si="17"/>
        <v>61% to 70 %</v>
      </c>
    </row>
    <row r="359" spans="1:21" x14ac:dyDescent="0.3">
      <c r="A359" t="s">
        <v>782</v>
      </c>
      <c r="B359" t="s">
        <v>783</v>
      </c>
      <c r="C359" t="s">
        <v>15</v>
      </c>
      <c r="D359" t="s">
        <v>20</v>
      </c>
      <c r="E359">
        <v>36</v>
      </c>
      <c r="F359" t="str">
        <f t="shared" si="15"/>
        <v>31 to 40</v>
      </c>
      <c r="G359" t="s">
        <v>83</v>
      </c>
      <c r="H359" t="s">
        <v>84</v>
      </c>
      <c r="I359" t="s">
        <v>18</v>
      </c>
      <c r="J359">
        <v>11</v>
      </c>
      <c r="K359" t="str">
        <f t="shared" si="16"/>
        <v>11 to 20</v>
      </c>
      <c r="L359" s="1">
        <v>40</v>
      </c>
      <c r="M359" t="s">
        <v>2065</v>
      </c>
      <c r="N359" t="s">
        <v>2067</v>
      </c>
      <c r="O359">
        <v>1.3</v>
      </c>
      <c r="P359" t="b">
        <v>1</v>
      </c>
      <c r="Q359" t="s">
        <v>2076</v>
      </c>
      <c r="T359" s="2" t="str">
        <f t="shared" si="17"/>
        <v/>
      </c>
    </row>
    <row r="360" spans="1:21" x14ac:dyDescent="0.3">
      <c r="A360" t="s">
        <v>784</v>
      </c>
      <c r="B360" t="s">
        <v>785</v>
      </c>
      <c r="C360" t="s">
        <v>15</v>
      </c>
      <c r="D360" t="s">
        <v>20</v>
      </c>
      <c r="E360">
        <v>21</v>
      </c>
      <c r="F360" t="str">
        <f t="shared" si="15"/>
        <v>21 to 30</v>
      </c>
      <c r="G360" t="s">
        <v>188</v>
      </c>
      <c r="H360" t="s">
        <v>189</v>
      </c>
      <c r="I360" t="s">
        <v>108</v>
      </c>
      <c r="J360">
        <v>1</v>
      </c>
      <c r="K360" t="str">
        <f t="shared" si="16"/>
        <v>0 to 10</v>
      </c>
      <c r="L360" s="1">
        <v>20</v>
      </c>
      <c r="M360" t="s">
        <v>2065</v>
      </c>
      <c r="N360" t="s">
        <v>2072</v>
      </c>
      <c r="O360">
        <v>2.4</v>
      </c>
      <c r="P360">
        <v>1</v>
      </c>
      <c r="Q360" t="s">
        <v>2076</v>
      </c>
      <c r="R360">
        <v>0.66</v>
      </c>
      <c r="S360" s="2">
        <v>0.66</v>
      </c>
      <c r="T360" s="2" t="str">
        <f t="shared" si="17"/>
        <v>61% to 70 %</v>
      </c>
    </row>
    <row r="361" spans="1:21" x14ac:dyDescent="0.3">
      <c r="A361" t="s">
        <v>786</v>
      </c>
      <c r="B361" t="s">
        <v>787</v>
      </c>
      <c r="C361" t="s">
        <v>15</v>
      </c>
      <c r="D361" t="s">
        <v>20</v>
      </c>
      <c r="E361">
        <v>56</v>
      </c>
      <c r="F361" t="str">
        <f t="shared" si="15"/>
        <v>51 to 60</v>
      </c>
      <c r="G361" t="s">
        <v>77</v>
      </c>
      <c r="H361" t="s">
        <v>78</v>
      </c>
      <c r="I361" t="s">
        <v>66</v>
      </c>
      <c r="J361">
        <v>2</v>
      </c>
      <c r="K361" t="str">
        <f t="shared" si="16"/>
        <v>0 to 10</v>
      </c>
      <c r="L361" s="1">
        <v>75</v>
      </c>
      <c r="M361" t="s">
        <v>2065</v>
      </c>
      <c r="N361" t="s">
        <v>2066</v>
      </c>
      <c r="O361">
        <v>2.4</v>
      </c>
      <c r="P361" t="s">
        <v>53</v>
      </c>
      <c r="Q361" t="s">
        <v>2077</v>
      </c>
      <c r="T361" s="2" t="str">
        <f t="shared" si="17"/>
        <v/>
      </c>
    </row>
    <row r="362" spans="1:21" x14ac:dyDescent="0.3">
      <c r="A362" t="s">
        <v>788</v>
      </c>
      <c r="B362" t="s">
        <v>789</v>
      </c>
      <c r="C362" t="s">
        <v>76</v>
      </c>
      <c r="D362" t="s">
        <v>80</v>
      </c>
      <c r="E362">
        <v>21</v>
      </c>
      <c r="F362" t="str">
        <f t="shared" si="15"/>
        <v>21 to 30</v>
      </c>
      <c r="G362" t="s">
        <v>77</v>
      </c>
      <c r="H362" t="s">
        <v>78</v>
      </c>
      <c r="I362" t="s">
        <v>63</v>
      </c>
      <c r="J362">
        <v>0</v>
      </c>
      <c r="K362" t="str">
        <f t="shared" si="16"/>
        <v>0 to 10</v>
      </c>
      <c r="L362" s="1">
        <v>30</v>
      </c>
      <c r="M362" t="s">
        <v>2068</v>
      </c>
      <c r="N362" t="s">
        <v>2069</v>
      </c>
      <c r="O362">
        <v>4.2</v>
      </c>
      <c r="P362" t="s">
        <v>19</v>
      </c>
      <c r="Q362" t="s">
        <v>2076</v>
      </c>
      <c r="R362">
        <v>0.79</v>
      </c>
      <c r="S362" s="2">
        <v>0.79</v>
      </c>
      <c r="T362" s="2" t="str">
        <f t="shared" si="17"/>
        <v>71% to 80%</v>
      </c>
    </row>
    <row r="363" spans="1:21" x14ac:dyDescent="0.3">
      <c r="A363" t="s">
        <v>790</v>
      </c>
      <c r="B363" t="s">
        <v>791</v>
      </c>
      <c r="C363" t="s">
        <v>15</v>
      </c>
      <c r="D363" t="s">
        <v>20</v>
      </c>
      <c r="E363">
        <v>24</v>
      </c>
      <c r="F363" t="str">
        <f t="shared" si="15"/>
        <v>21 to 30</v>
      </c>
      <c r="G363" t="s">
        <v>23</v>
      </c>
      <c r="H363" t="s">
        <v>24</v>
      </c>
      <c r="I363" t="s">
        <v>60</v>
      </c>
      <c r="J363">
        <v>2</v>
      </c>
      <c r="K363" t="str">
        <f t="shared" si="16"/>
        <v>0 to 10</v>
      </c>
      <c r="L363" s="1">
        <v>75</v>
      </c>
      <c r="M363" t="s">
        <v>2066</v>
      </c>
      <c r="O363">
        <v>4.7</v>
      </c>
      <c r="P363" t="s">
        <v>67</v>
      </c>
      <c r="Q363" t="s">
        <v>2077</v>
      </c>
      <c r="R363">
        <v>0.68</v>
      </c>
      <c r="S363" s="2">
        <v>0.68</v>
      </c>
      <c r="T363" s="2" t="str">
        <f t="shared" si="17"/>
        <v>61% to 70 %</v>
      </c>
    </row>
    <row r="364" spans="1:21" x14ac:dyDescent="0.3">
      <c r="A364" t="s">
        <v>792</v>
      </c>
      <c r="B364" t="s">
        <v>793</v>
      </c>
      <c r="C364" t="s">
        <v>76</v>
      </c>
      <c r="D364" t="s">
        <v>80</v>
      </c>
      <c r="E364">
        <v>40</v>
      </c>
      <c r="F364" t="str">
        <f t="shared" si="15"/>
        <v>31 to 40</v>
      </c>
      <c r="G364" t="s">
        <v>42</v>
      </c>
      <c r="H364" t="s">
        <v>43</v>
      </c>
      <c r="I364" t="s">
        <v>18</v>
      </c>
      <c r="K364" t="str">
        <f t="shared" si="16"/>
        <v/>
      </c>
      <c r="L364" s="1">
        <v>40</v>
      </c>
      <c r="M364" t="s">
        <v>2067</v>
      </c>
      <c r="O364">
        <v>1.5</v>
      </c>
      <c r="P364" t="b">
        <v>0</v>
      </c>
      <c r="Q364" t="s">
        <v>2077</v>
      </c>
      <c r="R364">
        <v>0.96</v>
      </c>
      <c r="S364" s="2">
        <v>0.96</v>
      </c>
      <c r="T364" s="2" t="str">
        <f t="shared" si="17"/>
        <v>91% to 100%</v>
      </c>
    </row>
    <row r="365" spans="1:21" x14ac:dyDescent="0.3">
      <c r="A365" t="s">
        <v>794</v>
      </c>
      <c r="B365" t="s">
        <v>795</v>
      </c>
      <c r="C365" t="s">
        <v>36</v>
      </c>
      <c r="D365" t="s">
        <v>20</v>
      </c>
      <c r="F365" t="str">
        <f t="shared" si="15"/>
        <v/>
      </c>
      <c r="G365" t="s">
        <v>188</v>
      </c>
      <c r="H365" t="s">
        <v>189</v>
      </c>
      <c r="I365" t="s">
        <v>39</v>
      </c>
      <c r="J365">
        <v>10</v>
      </c>
      <c r="K365" t="str">
        <f t="shared" si="16"/>
        <v>0 to 10</v>
      </c>
      <c r="L365" s="1">
        <v>20</v>
      </c>
      <c r="M365" t="s">
        <v>2072</v>
      </c>
      <c r="O365">
        <v>1.8</v>
      </c>
      <c r="P365" t="s">
        <v>19</v>
      </c>
      <c r="Q365" t="s">
        <v>2076</v>
      </c>
      <c r="R365">
        <v>85</v>
      </c>
      <c r="S365" s="2">
        <v>0.85</v>
      </c>
      <c r="T365" s="2" t="str">
        <f t="shared" si="17"/>
        <v>81% to 90%</v>
      </c>
      <c r="U365">
        <v>0.85</v>
      </c>
    </row>
    <row r="366" spans="1:21" x14ac:dyDescent="0.3">
      <c r="A366" t="s">
        <v>796</v>
      </c>
      <c r="B366" t="s">
        <v>797</v>
      </c>
      <c r="C366" t="s">
        <v>15</v>
      </c>
      <c r="D366" t="s">
        <v>20</v>
      </c>
      <c r="E366">
        <v>34</v>
      </c>
      <c r="F366" t="str">
        <f t="shared" si="15"/>
        <v>31 to 40</v>
      </c>
      <c r="G366" t="s">
        <v>27</v>
      </c>
      <c r="H366" t="s">
        <v>28</v>
      </c>
      <c r="I366" t="s">
        <v>33</v>
      </c>
      <c r="J366">
        <v>8</v>
      </c>
      <c r="K366" t="str">
        <f t="shared" si="16"/>
        <v>0 to 10</v>
      </c>
      <c r="L366" s="1">
        <v>75</v>
      </c>
      <c r="M366" t="s">
        <v>2066</v>
      </c>
      <c r="O366">
        <v>1.8</v>
      </c>
      <c r="P366">
        <v>1</v>
      </c>
      <c r="Q366" t="s">
        <v>2076</v>
      </c>
      <c r="R366">
        <v>0.71</v>
      </c>
      <c r="S366" s="2">
        <v>0.71</v>
      </c>
      <c r="T366" s="2" t="str">
        <f t="shared" si="17"/>
        <v>71% to 80%</v>
      </c>
    </row>
    <row r="367" spans="1:21" x14ac:dyDescent="0.3">
      <c r="A367" t="s">
        <v>798</v>
      </c>
      <c r="B367" t="s">
        <v>799</v>
      </c>
      <c r="C367" t="s">
        <v>15</v>
      </c>
      <c r="D367" t="s">
        <v>20</v>
      </c>
      <c r="E367">
        <v>47</v>
      </c>
      <c r="F367" t="str">
        <f t="shared" si="15"/>
        <v>41 to 50</v>
      </c>
      <c r="G367" t="s">
        <v>87</v>
      </c>
      <c r="H367" t="s">
        <v>88</v>
      </c>
      <c r="I367" t="s">
        <v>108</v>
      </c>
      <c r="J367">
        <v>2</v>
      </c>
      <c r="K367" t="str">
        <f t="shared" si="16"/>
        <v>0 to 10</v>
      </c>
      <c r="L367" s="1">
        <v>50</v>
      </c>
      <c r="M367" t="s">
        <v>2071</v>
      </c>
      <c r="O367">
        <v>2.7</v>
      </c>
      <c r="P367" t="s">
        <v>67</v>
      </c>
      <c r="Q367" t="s">
        <v>2077</v>
      </c>
      <c r="R367">
        <v>96</v>
      </c>
      <c r="S367" s="2">
        <v>0.96</v>
      </c>
      <c r="T367" s="2" t="str">
        <f t="shared" si="17"/>
        <v>91% to 100%</v>
      </c>
      <c r="U367">
        <v>0.96</v>
      </c>
    </row>
    <row r="368" spans="1:21" x14ac:dyDescent="0.3">
      <c r="A368" t="s">
        <v>800</v>
      </c>
      <c r="B368" t="s">
        <v>801</v>
      </c>
      <c r="C368" t="s">
        <v>15</v>
      </c>
      <c r="D368" t="s">
        <v>20</v>
      </c>
      <c r="E368">
        <v>48</v>
      </c>
      <c r="F368" t="str">
        <f t="shared" si="15"/>
        <v>41 to 50</v>
      </c>
      <c r="G368" t="s">
        <v>254</v>
      </c>
      <c r="H368" t="s">
        <v>255</v>
      </c>
      <c r="I368" t="s">
        <v>39</v>
      </c>
      <c r="J368">
        <v>23</v>
      </c>
      <c r="K368" t="str">
        <f t="shared" si="16"/>
        <v>21 to 30</v>
      </c>
      <c r="O368">
        <v>2.1</v>
      </c>
      <c r="P368">
        <v>0</v>
      </c>
      <c r="Q368" t="s">
        <v>2077</v>
      </c>
      <c r="R368">
        <v>0.68</v>
      </c>
      <c r="S368" s="2">
        <v>0.68</v>
      </c>
      <c r="T368" s="2" t="str">
        <f t="shared" si="17"/>
        <v>61% to 70 %</v>
      </c>
    </row>
    <row r="369" spans="1:21" x14ac:dyDescent="0.3">
      <c r="A369" t="s">
        <v>802</v>
      </c>
      <c r="B369" t="s">
        <v>803</v>
      </c>
      <c r="C369" t="s">
        <v>36</v>
      </c>
      <c r="D369" t="s">
        <v>20</v>
      </c>
      <c r="E369">
        <v>57</v>
      </c>
      <c r="F369" t="str">
        <f t="shared" si="15"/>
        <v>51 to 60</v>
      </c>
      <c r="G369" t="s">
        <v>42</v>
      </c>
      <c r="H369" t="s">
        <v>43</v>
      </c>
      <c r="I369" t="s">
        <v>60</v>
      </c>
      <c r="J369">
        <v>8</v>
      </c>
      <c r="K369" t="str">
        <f t="shared" si="16"/>
        <v>0 to 10</v>
      </c>
      <c r="L369" s="1">
        <v>20</v>
      </c>
      <c r="M369" t="s">
        <v>2065</v>
      </c>
      <c r="N369" t="s">
        <v>2072</v>
      </c>
      <c r="O369">
        <v>0</v>
      </c>
      <c r="P369" t="s">
        <v>19</v>
      </c>
      <c r="Q369" t="s">
        <v>2076</v>
      </c>
      <c r="R369">
        <v>0.84</v>
      </c>
      <c r="S369" s="2">
        <v>0.84</v>
      </c>
      <c r="T369" s="2" t="str">
        <f t="shared" si="17"/>
        <v>81% to 90%</v>
      </c>
    </row>
    <row r="370" spans="1:21" x14ac:dyDescent="0.3">
      <c r="A370" t="s">
        <v>804</v>
      </c>
      <c r="B370" t="s">
        <v>805</v>
      </c>
      <c r="C370" t="s">
        <v>36</v>
      </c>
      <c r="D370" t="s">
        <v>20</v>
      </c>
      <c r="E370">
        <v>55</v>
      </c>
      <c r="F370" t="str">
        <f t="shared" si="15"/>
        <v>51 to 60</v>
      </c>
      <c r="G370" t="s">
        <v>101</v>
      </c>
      <c r="H370" t="s">
        <v>59</v>
      </c>
      <c r="I370" t="s">
        <v>33</v>
      </c>
      <c r="J370">
        <v>7</v>
      </c>
      <c r="K370" t="str">
        <f t="shared" si="16"/>
        <v>0 to 10</v>
      </c>
      <c r="L370" s="1">
        <v>100</v>
      </c>
      <c r="M370" t="s">
        <v>2068</v>
      </c>
      <c r="N370" t="s">
        <v>2070</v>
      </c>
      <c r="O370">
        <v>2.1</v>
      </c>
      <c r="P370">
        <v>0</v>
      </c>
      <c r="Q370" t="s">
        <v>2077</v>
      </c>
      <c r="R370">
        <v>0.66</v>
      </c>
      <c r="S370" s="2">
        <v>0.66</v>
      </c>
      <c r="T370" s="2" t="str">
        <f t="shared" si="17"/>
        <v>61% to 70 %</v>
      </c>
    </row>
    <row r="371" spans="1:21" x14ac:dyDescent="0.3">
      <c r="A371" t="s">
        <v>806</v>
      </c>
      <c r="B371" t="s">
        <v>807</v>
      </c>
      <c r="C371" t="s">
        <v>76</v>
      </c>
      <c r="D371" t="s">
        <v>80</v>
      </c>
      <c r="E371">
        <v>37</v>
      </c>
      <c r="F371" t="str">
        <f t="shared" si="15"/>
        <v>31 to 40</v>
      </c>
      <c r="G371" t="s">
        <v>91</v>
      </c>
      <c r="H371" t="s">
        <v>59</v>
      </c>
      <c r="I371" t="s">
        <v>33</v>
      </c>
      <c r="J371">
        <v>6</v>
      </c>
      <c r="K371" t="str">
        <f t="shared" si="16"/>
        <v>0 to 10</v>
      </c>
      <c r="L371" s="1">
        <v>20</v>
      </c>
      <c r="M371" t="s">
        <v>2065</v>
      </c>
      <c r="N371" t="s">
        <v>2072</v>
      </c>
      <c r="O371">
        <v>2.7</v>
      </c>
      <c r="P371" t="b">
        <v>1</v>
      </c>
      <c r="Q371" t="s">
        <v>2076</v>
      </c>
      <c r="R371">
        <v>0.91</v>
      </c>
      <c r="S371" s="2">
        <v>0.91</v>
      </c>
      <c r="T371" s="2" t="str">
        <f t="shared" si="17"/>
        <v>91% to 100%</v>
      </c>
    </row>
    <row r="372" spans="1:21" x14ac:dyDescent="0.3">
      <c r="A372" t="s">
        <v>808</v>
      </c>
      <c r="B372" t="s">
        <v>809</v>
      </c>
      <c r="C372" t="s">
        <v>76</v>
      </c>
      <c r="D372" t="s">
        <v>80</v>
      </c>
      <c r="E372">
        <v>29</v>
      </c>
      <c r="F372" t="str">
        <f t="shared" si="15"/>
        <v>21 to 30</v>
      </c>
      <c r="G372" t="s">
        <v>188</v>
      </c>
      <c r="H372" t="s">
        <v>189</v>
      </c>
      <c r="I372" t="s">
        <v>52</v>
      </c>
      <c r="J372">
        <v>8</v>
      </c>
      <c r="K372" t="str">
        <f t="shared" si="16"/>
        <v>0 to 10</v>
      </c>
      <c r="L372" s="1">
        <v>50</v>
      </c>
      <c r="M372" t="s">
        <v>2071</v>
      </c>
      <c r="O372">
        <v>0</v>
      </c>
      <c r="P372">
        <v>0</v>
      </c>
      <c r="Q372" t="s">
        <v>2077</v>
      </c>
      <c r="R372">
        <v>0.77</v>
      </c>
      <c r="S372" s="2">
        <v>0.77</v>
      </c>
      <c r="T372" s="2" t="str">
        <f t="shared" si="17"/>
        <v>71% to 80%</v>
      </c>
    </row>
    <row r="373" spans="1:21" x14ac:dyDescent="0.3">
      <c r="A373" t="s">
        <v>810</v>
      </c>
      <c r="B373" t="s">
        <v>811</v>
      </c>
      <c r="C373" t="s">
        <v>111</v>
      </c>
      <c r="D373" t="s">
        <v>80</v>
      </c>
      <c r="E373">
        <v>35</v>
      </c>
      <c r="F373" t="str">
        <f t="shared" si="15"/>
        <v>31 to 40</v>
      </c>
      <c r="G373" t="s">
        <v>188</v>
      </c>
      <c r="H373" t="s">
        <v>189</v>
      </c>
      <c r="I373" t="s">
        <v>63</v>
      </c>
      <c r="J373">
        <v>10</v>
      </c>
      <c r="K373" t="str">
        <f t="shared" si="16"/>
        <v>0 to 10</v>
      </c>
      <c r="L373" s="1">
        <v>100</v>
      </c>
      <c r="M373" t="s">
        <v>2068</v>
      </c>
      <c r="N373" t="s">
        <v>2070</v>
      </c>
      <c r="O373">
        <v>4.7</v>
      </c>
      <c r="P373" t="b">
        <v>1</v>
      </c>
      <c r="Q373" t="s">
        <v>2076</v>
      </c>
      <c r="R373">
        <v>0.84</v>
      </c>
      <c r="S373" s="2">
        <v>0.84</v>
      </c>
      <c r="T373" s="2" t="str">
        <f t="shared" si="17"/>
        <v>81% to 90%</v>
      </c>
    </row>
    <row r="374" spans="1:21" x14ac:dyDescent="0.3">
      <c r="A374" t="s">
        <v>812</v>
      </c>
      <c r="B374" t="s">
        <v>813</v>
      </c>
      <c r="C374" t="s">
        <v>111</v>
      </c>
      <c r="D374" t="s">
        <v>80</v>
      </c>
      <c r="E374">
        <v>58</v>
      </c>
      <c r="F374" t="str">
        <f t="shared" si="15"/>
        <v>51 to 60</v>
      </c>
      <c r="G374" t="s">
        <v>158</v>
      </c>
      <c r="H374" t="s">
        <v>159</v>
      </c>
      <c r="I374" t="s">
        <v>47</v>
      </c>
      <c r="J374">
        <v>9</v>
      </c>
      <c r="K374" t="str">
        <f t="shared" si="16"/>
        <v>0 to 10</v>
      </c>
      <c r="L374" s="1">
        <v>30</v>
      </c>
      <c r="M374" t="s">
        <v>2069</v>
      </c>
      <c r="O374">
        <v>0</v>
      </c>
      <c r="P374">
        <v>1</v>
      </c>
      <c r="Q374" t="s">
        <v>2076</v>
      </c>
      <c r="R374">
        <v>0.65</v>
      </c>
      <c r="S374" s="2">
        <v>0.65</v>
      </c>
      <c r="T374" s="2" t="str">
        <f t="shared" si="17"/>
        <v>61% to 70 %</v>
      </c>
    </row>
    <row r="375" spans="1:21" x14ac:dyDescent="0.3">
      <c r="A375" t="s">
        <v>814</v>
      </c>
      <c r="B375" t="s">
        <v>815</v>
      </c>
      <c r="C375" t="s">
        <v>36</v>
      </c>
      <c r="D375" t="s">
        <v>20</v>
      </c>
      <c r="E375">
        <v>43</v>
      </c>
      <c r="F375" t="str">
        <f t="shared" si="15"/>
        <v>41 to 50</v>
      </c>
      <c r="G375" t="s">
        <v>104</v>
      </c>
      <c r="H375" t="s">
        <v>105</v>
      </c>
      <c r="I375" t="s">
        <v>39</v>
      </c>
      <c r="J375">
        <v>12</v>
      </c>
      <c r="K375" t="str">
        <f t="shared" si="16"/>
        <v>11 to 20</v>
      </c>
      <c r="O375">
        <v>1.6</v>
      </c>
      <c r="P375">
        <v>1</v>
      </c>
      <c r="Q375" t="s">
        <v>2076</v>
      </c>
      <c r="R375">
        <v>0.74</v>
      </c>
      <c r="S375" s="2">
        <v>0.74</v>
      </c>
      <c r="T375" s="2" t="str">
        <f t="shared" si="17"/>
        <v>71% to 80%</v>
      </c>
    </row>
    <row r="376" spans="1:21" x14ac:dyDescent="0.3">
      <c r="A376" t="s">
        <v>816</v>
      </c>
      <c r="B376" t="s">
        <v>817</v>
      </c>
      <c r="C376" t="s">
        <v>15</v>
      </c>
      <c r="D376" t="s">
        <v>20</v>
      </c>
      <c r="E376">
        <v>41</v>
      </c>
      <c r="F376" t="str">
        <f t="shared" si="15"/>
        <v>41 to 50</v>
      </c>
      <c r="G376" t="s">
        <v>188</v>
      </c>
      <c r="H376" t="s">
        <v>189</v>
      </c>
      <c r="I376" t="s">
        <v>39</v>
      </c>
      <c r="J376">
        <v>9</v>
      </c>
      <c r="K376" t="str">
        <f t="shared" si="16"/>
        <v>0 to 10</v>
      </c>
      <c r="L376" s="1">
        <v>75</v>
      </c>
      <c r="M376" t="s">
        <v>2065</v>
      </c>
      <c r="N376" t="s">
        <v>2066</v>
      </c>
      <c r="O376">
        <v>4.9000000000000004</v>
      </c>
      <c r="P376">
        <v>1</v>
      </c>
      <c r="Q376" t="s">
        <v>2076</v>
      </c>
      <c r="R376">
        <v>0.74</v>
      </c>
      <c r="S376" s="2">
        <v>0.74</v>
      </c>
      <c r="T376" s="2" t="str">
        <f t="shared" si="17"/>
        <v>71% to 80%</v>
      </c>
    </row>
    <row r="377" spans="1:21" x14ac:dyDescent="0.3">
      <c r="A377" t="s">
        <v>818</v>
      </c>
      <c r="B377" t="s">
        <v>819</v>
      </c>
      <c r="C377" t="s">
        <v>36</v>
      </c>
      <c r="D377" t="s">
        <v>20</v>
      </c>
      <c r="E377">
        <v>23</v>
      </c>
      <c r="F377" t="str">
        <f t="shared" si="15"/>
        <v>21 to 30</v>
      </c>
      <c r="G377" t="s">
        <v>16</v>
      </c>
      <c r="H377" t="s">
        <v>17</v>
      </c>
      <c r="I377" t="s">
        <v>66</v>
      </c>
      <c r="J377">
        <v>3</v>
      </c>
      <c r="K377" t="str">
        <f t="shared" si="16"/>
        <v>0 to 10</v>
      </c>
      <c r="L377" s="1">
        <v>30</v>
      </c>
      <c r="M377" t="s">
        <v>2068</v>
      </c>
      <c r="N377" t="s">
        <v>2069</v>
      </c>
      <c r="O377">
        <v>1.6</v>
      </c>
      <c r="P377" t="s">
        <v>96</v>
      </c>
      <c r="Q377" t="s">
        <v>2076</v>
      </c>
      <c r="R377">
        <v>0.72</v>
      </c>
      <c r="S377" s="2">
        <v>0.72</v>
      </c>
      <c r="T377" s="2" t="str">
        <f t="shared" si="17"/>
        <v>71% to 80%</v>
      </c>
    </row>
    <row r="378" spans="1:21" x14ac:dyDescent="0.3">
      <c r="A378" t="s">
        <v>820</v>
      </c>
      <c r="B378" t="s">
        <v>821</v>
      </c>
      <c r="C378" t="s">
        <v>15</v>
      </c>
      <c r="D378" t="s">
        <v>20</v>
      </c>
      <c r="E378">
        <v>44</v>
      </c>
      <c r="F378" t="str">
        <f t="shared" si="15"/>
        <v>41 to 50</v>
      </c>
      <c r="G378" t="s">
        <v>58</v>
      </c>
      <c r="H378" t="s">
        <v>59</v>
      </c>
      <c r="I378" t="s">
        <v>18</v>
      </c>
      <c r="J378">
        <v>13</v>
      </c>
      <c r="K378" t="str">
        <f t="shared" si="16"/>
        <v>11 to 20</v>
      </c>
      <c r="L378" s="1">
        <v>100</v>
      </c>
      <c r="M378" t="s">
        <v>2070</v>
      </c>
      <c r="O378">
        <v>3.1</v>
      </c>
      <c r="P378" t="s">
        <v>96</v>
      </c>
      <c r="Q378" t="s">
        <v>2076</v>
      </c>
      <c r="R378">
        <v>95</v>
      </c>
      <c r="S378" s="2">
        <v>0.95</v>
      </c>
      <c r="T378" s="2" t="str">
        <f t="shared" si="17"/>
        <v>91% to 100%</v>
      </c>
      <c r="U378">
        <v>0.95</v>
      </c>
    </row>
    <row r="379" spans="1:21" x14ac:dyDescent="0.3">
      <c r="A379" t="s">
        <v>822</v>
      </c>
      <c r="B379" t="s">
        <v>823</v>
      </c>
      <c r="C379" t="s">
        <v>15</v>
      </c>
      <c r="D379" t="s">
        <v>20</v>
      </c>
      <c r="F379" t="str">
        <f t="shared" si="15"/>
        <v/>
      </c>
      <c r="G379" t="s">
        <v>31</v>
      </c>
      <c r="H379" t="s">
        <v>32</v>
      </c>
      <c r="I379" t="s">
        <v>108</v>
      </c>
      <c r="J379">
        <v>9</v>
      </c>
      <c r="K379" t="str">
        <f t="shared" si="16"/>
        <v>0 to 10</v>
      </c>
      <c r="L379" s="1">
        <v>50</v>
      </c>
      <c r="M379" t="s">
        <v>2071</v>
      </c>
      <c r="O379">
        <v>1.8</v>
      </c>
      <c r="P379" t="b">
        <v>0</v>
      </c>
      <c r="Q379" t="s">
        <v>2077</v>
      </c>
      <c r="R379">
        <v>0.65</v>
      </c>
      <c r="S379" s="2">
        <v>0.65</v>
      </c>
      <c r="T379" s="2" t="str">
        <f t="shared" si="17"/>
        <v>61% to 70 %</v>
      </c>
    </row>
    <row r="380" spans="1:21" x14ac:dyDescent="0.3">
      <c r="A380" t="s">
        <v>824</v>
      </c>
      <c r="B380" t="s">
        <v>825</v>
      </c>
      <c r="C380" t="s">
        <v>15</v>
      </c>
      <c r="D380" t="s">
        <v>20</v>
      </c>
      <c r="E380">
        <v>40</v>
      </c>
      <c r="F380" t="str">
        <f t="shared" si="15"/>
        <v>31 to 40</v>
      </c>
      <c r="G380" t="s">
        <v>16</v>
      </c>
      <c r="H380" t="s">
        <v>17</v>
      </c>
      <c r="I380" t="s">
        <v>39</v>
      </c>
      <c r="J380">
        <v>7</v>
      </c>
      <c r="K380" t="str">
        <f t="shared" si="16"/>
        <v>0 to 10</v>
      </c>
      <c r="L380" s="1">
        <v>40</v>
      </c>
      <c r="M380" t="s">
        <v>2067</v>
      </c>
      <c r="O380">
        <v>4.5</v>
      </c>
      <c r="R380">
        <v>79</v>
      </c>
      <c r="S380" s="2">
        <v>0.79</v>
      </c>
      <c r="T380" s="2" t="str">
        <f t="shared" si="17"/>
        <v>71% to 80%</v>
      </c>
      <c r="U380">
        <v>0.79</v>
      </c>
    </row>
    <row r="381" spans="1:21" x14ac:dyDescent="0.3">
      <c r="A381" t="s">
        <v>826</v>
      </c>
      <c r="B381" t="s">
        <v>827</v>
      </c>
      <c r="C381" t="s">
        <v>36</v>
      </c>
      <c r="D381" t="s">
        <v>20</v>
      </c>
      <c r="E381">
        <v>28</v>
      </c>
      <c r="F381" t="str">
        <f t="shared" si="15"/>
        <v>21 to 30</v>
      </c>
      <c r="G381" t="s">
        <v>58</v>
      </c>
      <c r="H381" t="s">
        <v>59</v>
      </c>
      <c r="I381" t="s">
        <v>52</v>
      </c>
      <c r="J381">
        <v>2</v>
      </c>
      <c r="K381" t="str">
        <f t="shared" si="16"/>
        <v>0 to 10</v>
      </c>
      <c r="L381" s="1">
        <v>100</v>
      </c>
      <c r="M381" t="s">
        <v>2065</v>
      </c>
      <c r="N381" t="s">
        <v>2070</v>
      </c>
      <c r="O381">
        <v>4.4000000000000004</v>
      </c>
      <c r="P381" t="b">
        <v>1</v>
      </c>
      <c r="Q381" t="s">
        <v>2076</v>
      </c>
      <c r="T381" s="2" t="str">
        <f t="shared" si="17"/>
        <v/>
      </c>
    </row>
    <row r="382" spans="1:21" x14ac:dyDescent="0.3">
      <c r="A382" t="s">
        <v>828</v>
      </c>
      <c r="B382" t="s">
        <v>829</v>
      </c>
      <c r="C382" t="s">
        <v>15</v>
      </c>
      <c r="D382" t="s">
        <v>20</v>
      </c>
      <c r="E382">
        <v>60</v>
      </c>
      <c r="F382" t="str">
        <f t="shared" si="15"/>
        <v>51 to 60</v>
      </c>
      <c r="G382" t="s">
        <v>77</v>
      </c>
      <c r="H382" t="s">
        <v>78</v>
      </c>
      <c r="I382" t="s">
        <v>39</v>
      </c>
      <c r="J382">
        <v>13</v>
      </c>
      <c r="K382" t="str">
        <f t="shared" si="16"/>
        <v>11 to 20</v>
      </c>
      <c r="L382" s="1">
        <v>20</v>
      </c>
      <c r="M382" t="s">
        <v>2065</v>
      </c>
      <c r="N382" t="s">
        <v>2072</v>
      </c>
      <c r="O382">
        <v>3.6</v>
      </c>
      <c r="P382">
        <v>0</v>
      </c>
      <c r="Q382" t="s">
        <v>2077</v>
      </c>
      <c r="R382">
        <v>0.8</v>
      </c>
      <c r="S382" s="2">
        <v>0.8</v>
      </c>
      <c r="T382" s="2" t="str">
        <f t="shared" si="17"/>
        <v>71% to 80%</v>
      </c>
    </row>
    <row r="383" spans="1:21" x14ac:dyDescent="0.3">
      <c r="A383" t="s">
        <v>830</v>
      </c>
      <c r="B383" t="s">
        <v>831</v>
      </c>
      <c r="C383" t="s">
        <v>15</v>
      </c>
      <c r="D383" t="s">
        <v>20</v>
      </c>
      <c r="E383">
        <v>47</v>
      </c>
      <c r="F383" t="str">
        <f t="shared" si="15"/>
        <v>41 to 50</v>
      </c>
      <c r="G383" t="s">
        <v>37</v>
      </c>
      <c r="H383" t="s">
        <v>38</v>
      </c>
      <c r="I383" t="s">
        <v>66</v>
      </c>
      <c r="J383">
        <v>1</v>
      </c>
      <c r="K383" t="str">
        <f t="shared" si="16"/>
        <v>0 to 10</v>
      </c>
      <c r="L383" s="1">
        <v>50</v>
      </c>
      <c r="M383" t="s">
        <v>2071</v>
      </c>
      <c r="O383">
        <v>3.9</v>
      </c>
      <c r="P383" t="s">
        <v>96</v>
      </c>
      <c r="Q383" t="s">
        <v>2076</v>
      </c>
      <c r="R383">
        <v>0.88</v>
      </c>
      <c r="S383" s="2">
        <v>0.88</v>
      </c>
      <c r="T383" s="2" t="str">
        <f t="shared" si="17"/>
        <v>81% to 90%</v>
      </c>
    </row>
    <row r="384" spans="1:21" x14ac:dyDescent="0.3">
      <c r="A384" t="s">
        <v>832</v>
      </c>
      <c r="B384" t="s">
        <v>833</v>
      </c>
      <c r="C384" t="s">
        <v>15</v>
      </c>
      <c r="D384" t="s">
        <v>20</v>
      </c>
      <c r="E384">
        <v>51</v>
      </c>
      <c r="F384" t="str">
        <f t="shared" si="15"/>
        <v>51 to 60</v>
      </c>
      <c r="G384" t="s">
        <v>87</v>
      </c>
      <c r="H384" t="s">
        <v>88</v>
      </c>
      <c r="I384" t="s">
        <v>39</v>
      </c>
      <c r="J384">
        <v>32</v>
      </c>
      <c r="K384" t="str">
        <f t="shared" si="16"/>
        <v>31 to 40</v>
      </c>
      <c r="L384" s="1">
        <v>100</v>
      </c>
      <c r="M384" t="s">
        <v>2070</v>
      </c>
      <c r="O384">
        <v>4.4000000000000004</v>
      </c>
      <c r="P384" t="b">
        <v>0</v>
      </c>
      <c r="Q384" t="s">
        <v>2077</v>
      </c>
      <c r="R384">
        <v>91</v>
      </c>
      <c r="S384" s="2">
        <v>0.91</v>
      </c>
      <c r="T384" s="2" t="str">
        <f t="shared" si="17"/>
        <v>91% to 100%</v>
      </c>
      <c r="U384">
        <v>0.91</v>
      </c>
    </row>
    <row r="385" spans="1:21" x14ac:dyDescent="0.3">
      <c r="A385" t="s">
        <v>834</v>
      </c>
      <c r="B385" t="s">
        <v>835</v>
      </c>
      <c r="C385" t="s">
        <v>15</v>
      </c>
      <c r="D385" t="s">
        <v>20</v>
      </c>
      <c r="E385">
        <v>39</v>
      </c>
      <c r="F385" t="str">
        <f t="shared" si="15"/>
        <v>31 to 40</v>
      </c>
      <c r="G385" t="s">
        <v>16</v>
      </c>
      <c r="H385" t="s">
        <v>17</v>
      </c>
      <c r="I385" t="s">
        <v>18</v>
      </c>
      <c r="J385">
        <v>18</v>
      </c>
      <c r="K385" t="str">
        <f t="shared" si="16"/>
        <v>11 to 20</v>
      </c>
      <c r="L385" s="1">
        <v>75</v>
      </c>
      <c r="M385" t="s">
        <v>2066</v>
      </c>
      <c r="O385">
        <v>4</v>
      </c>
      <c r="P385">
        <v>1</v>
      </c>
      <c r="Q385" t="s">
        <v>2076</v>
      </c>
      <c r="R385">
        <v>0.66</v>
      </c>
      <c r="S385" s="2">
        <v>0.66</v>
      </c>
      <c r="T385" s="2" t="str">
        <f t="shared" si="17"/>
        <v>61% to 70 %</v>
      </c>
    </row>
    <row r="386" spans="1:21" x14ac:dyDescent="0.3">
      <c r="A386" t="s">
        <v>836</v>
      </c>
      <c r="B386" t="s">
        <v>837</v>
      </c>
      <c r="C386" t="s">
        <v>15</v>
      </c>
      <c r="D386" t="s">
        <v>20</v>
      </c>
      <c r="E386">
        <v>29</v>
      </c>
      <c r="F386" t="str">
        <f t="shared" ref="F386:F449" si="18">IF(OR($E386="",NOT(ISNUMBER($E386))),"",
 IF($E386&lt;=20,"11 to 20",
 IF($E386&lt;=30,"21 to 30",
 IF($E386&lt;=40,"31 to 40",
 IF($E386&lt;=50,"41 to 50",
 IF($E386&lt;=60,"51 to 60"))))))</f>
        <v>21 to 30</v>
      </c>
      <c r="G386" t="s">
        <v>139</v>
      </c>
      <c r="H386" t="s">
        <v>59</v>
      </c>
      <c r="I386" t="s">
        <v>79</v>
      </c>
      <c r="K386" t="str">
        <f t="shared" ref="K386:K449" si="19">IF(OR($J386="",NOT(ISNUMBER($J386))),"",
 IF($J386&lt;=10,"0 to 10",
 IF($J386&lt;=20,"11 to 20",
 IF($J386&lt;=30,"21 to 30",
 IF($J386&lt;=40,"31 to 40",
 "40+")))))</f>
        <v/>
      </c>
      <c r="L386" s="1">
        <v>75</v>
      </c>
      <c r="M386" t="s">
        <v>2065</v>
      </c>
      <c r="N386" t="s">
        <v>2066</v>
      </c>
      <c r="O386">
        <v>2</v>
      </c>
      <c r="P386">
        <v>0</v>
      </c>
      <c r="Q386" t="s">
        <v>2077</v>
      </c>
      <c r="T386" s="2" t="str">
        <f t="shared" ref="T386:T449" si="20">IF(OR($S386="",NOT(ISNUMBER($S386))),"",
 IF($S386&lt;=0.6,"50% to 60%",
 IF($S386&lt;=0.7,"61% to 70 %",
 IF($S386&lt;=0.8,"71% to 80%",
 IF($S386&lt;=0.9,"81% to 90%",
 IF($S386&lt;=1,"91% to 100%"))))))</f>
        <v/>
      </c>
    </row>
    <row r="387" spans="1:21" x14ac:dyDescent="0.3">
      <c r="A387" t="s">
        <v>838</v>
      </c>
      <c r="B387" t="s">
        <v>839</v>
      </c>
      <c r="C387" t="s">
        <v>15</v>
      </c>
      <c r="D387" t="s">
        <v>20</v>
      </c>
      <c r="E387">
        <v>41</v>
      </c>
      <c r="F387" t="str">
        <f t="shared" si="18"/>
        <v>41 to 50</v>
      </c>
      <c r="G387" t="s">
        <v>42</v>
      </c>
      <c r="H387" t="s">
        <v>43</v>
      </c>
      <c r="I387" t="s">
        <v>47</v>
      </c>
      <c r="J387">
        <v>4</v>
      </c>
      <c r="K387" t="str">
        <f t="shared" si="19"/>
        <v>0 to 10</v>
      </c>
      <c r="L387" s="1">
        <v>75</v>
      </c>
      <c r="M387" t="s">
        <v>2066</v>
      </c>
      <c r="O387">
        <v>2.6</v>
      </c>
      <c r="R387">
        <v>0.85</v>
      </c>
      <c r="S387" s="2">
        <v>0.85</v>
      </c>
      <c r="T387" s="2" t="str">
        <f t="shared" si="20"/>
        <v>81% to 90%</v>
      </c>
    </row>
    <row r="388" spans="1:21" x14ac:dyDescent="0.3">
      <c r="A388" t="s">
        <v>840</v>
      </c>
      <c r="B388" t="s">
        <v>841</v>
      </c>
      <c r="C388" t="s">
        <v>36</v>
      </c>
      <c r="D388" t="s">
        <v>20</v>
      </c>
      <c r="E388">
        <v>31</v>
      </c>
      <c r="F388" t="str">
        <f t="shared" si="18"/>
        <v>31 to 40</v>
      </c>
      <c r="G388" t="s">
        <v>31</v>
      </c>
      <c r="H388" t="s">
        <v>32</v>
      </c>
      <c r="I388" t="s">
        <v>60</v>
      </c>
      <c r="J388">
        <v>11</v>
      </c>
      <c r="K388" t="str">
        <f t="shared" si="19"/>
        <v>11 to 20</v>
      </c>
      <c r="L388" s="1">
        <v>50</v>
      </c>
      <c r="M388" t="s">
        <v>2065</v>
      </c>
      <c r="N388" t="s">
        <v>2071</v>
      </c>
      <c r="O388">
        <v>4.3</v>
      </c>
      <c r="P388">
        <v>0</v>
      </c>
      <c r="Q388" t="s">
        <v>2077</v>
      </c>
      <c r="R388">
        <v>62</v>
      </c>
      <c r="S388" s="2">
        <v>0.62</v>
      </c>
      <c r="T388" s="2" t="str">
        <f t="shared" si="20"/>
        <v>61% to 70 %</v>
      </c>
      <c r="U388">
        <v>0.62</v>
      </c>
    </row>
    <row r="389" spans="1:21" x14ac:dyDescent="0.3">
      <c r="A389" t="s">
        <v>842</v>
      </c>
      <c r="B389" t="s">
        <v>843</v>
      </c>
      <c r="C389" t="s">
        <v>36</v>
      </c>
      <c r="D389" t="s">
        <v>20</v>
      </c>
      <c r="E389">
        <v>21</v>
      </c>
      <c r="F389" t="str">
        <f t="shared" si="18"/>
        <v>21 to 30</v>
      </c>
      <c r="G389" t="s">
        <v>155</v>
      </c>
      <c r="H389" t="s">
        <v>17</v>
      </c>
      <c r="I389" t="s">
        <v>18</v>
      </c>
      <c r="K389" t="str">
        <f t="shared" si="19"/>
        <v/>
      </c>
      <c r="L389" s="1">
        <v>40</v>
      </c>
      <c r="M389" t="s">
        <v>2067</v>
      </c>
      <c r="O389">
        <v>4</v>
      </c>
      <c r="P389">
        <v>0</v>
      </c>
      <c r="Q389" t="s">
        <v>2077</v>
      </c>
      <c r="R389">
        <v>0.91</v>
      </c>
      <c r="S389" s="2">
        <v>0.91</v>
      </c>
      <c r="T389" s="2" t="str">
        <f t="shared" si="20"/>
        <v>91% to 100%</v>
      </c>
    </row>
    <row r="390" spans="1:21" x14ac:dyDescent="0.3">
      <c r="A390" t="s">
        <v>844</v>
      </c>
      <c r="B390" t="s">
        <v>845</v>
      </c>
      <c r="C390" t="s">
        <v>111</v>
      </c>
      <c r="D390" t="s">
        <v>80</v>
      </c>
      <c r="E390">
        <v>42</v>
      </c>
      <c r="F390" t="str">
        <f t="shared" si="18"/>
        <v>41 to 50</v>
      </c>
      <c r="G390" t="s">
        <v>77</v>
      </c>
      <c r="H390" t="s">
        <v>78</v>
      </c>
      <c r="I390" t="s">
        <v>52</v>
      </c>
      <c r="J390">
        <v>6</v>
      </c>
      <c r="K390" t="str">
        <f t="shared" si="19"/>
        <v>0 to 10</v>
      </c>
      <c r="L390" s="1">
        <v>40</v>
      </c>
      <c r="M390" t="s">
        <v>2067</v>
      </c>
      <c r="P390">
        <v>0</v>
      </c>
      <c r="Q390" t="s">
        <v>2077</v>
      </c>
      <c r="R390">
        <v>0.63</v>
      </c>
      <c r="S390" s="2">
        <v>0.63</v>
      </c>
      <c r="T390" s="2" t="str">
        <f t="shared" si="20"/>
        <v>61% to 70 %</v>
      </c>
    </row>
    <row r="391" spans="1:21" x14ac:dyDescent="0.3">
      <c r="A391" t="s">
        <v>846</v>
      </c>
      <c r="B391" t="s">
        <v>847</v>
      </c>
      <c r="C391" t="s">
        <v>76</v>
      </c>
      <c r="D391" t="s">
        <v>80</v>
      </c>
      <c r="E391">
        <v>32</v>
      </c>
      <c r="F391" t="str">
        <f t="shared" si="18"/>
        <v>31 to 40</v>
      </c>
      <c r="G391" t="s">
        <v>139</v>
      </c>
      <c r="H391" t="s">
        <v>59</v>
      </c>
      <c r="I391" t="s">
        <v>47</v>
      </c>
      <c r="J391">
        <v>6</v>
      </c>
      <c r="K391" t="str">
        <f t="shared" si="19"/>
        <v>0 to 10</v>
      </c>
      <c r="L391" s="1">
        <v>50</v>
      </c>
      <c r="M391" t="s">
        <v>2068</v>
      </c>
      <c r="N391" t="s">
        <v>2071</v>
      </c>
      <c r="O391">
        <v>3.4</v>
      </c>
      <c r="P391">
        <v>1</v>
      </c>
      <c r="Q391" t="s">
        <v>2076</v>
      </c>
      <c r="T391" s="2" t="str">
        <f t="shared" si="20"/>
        <v/>
      </c>
    </row>
    <row r="392" spans="1:21" x14ac:dyDescent="0.3">
      <c r="A392" t="s">
        <v>848</v>
      </c>
      <c r="B392" t="s">
        <v>849</v>
      </c>
      <c r="C392" t="s">
        <v>111</v>
      </c>
      <c r="D392" t="s">
        <v>80</v>
      </c>
      <c r="E392">
        <v>57</v>
      </c>
      <c r="F392" t="str">
        <f t="shared" si="18"/>
        <v>51 to 60</v>
      </c>
      <c r="G392" t="s">
        <v>188</v>
      </c>
      <c r="H392" t="s">
        <v>189</v>
      </c>
      <c r="I392" t="s">
        <v>60</v>
      </c>
      <c r="J392">
        <v>33</v>
      </c>
      <c r="K392" t="str">
        <f t="shared" si="19"/>
        <v>31 to 40</v>
      </c>
      <c r="L392" s="1">
        <v>100</v>
      </c>
      <c r="M392" t="s">
        <v>2070</v>
      </c>
      <c r="O392">
        <v>3.5</v>
      </c>
      <c r="P392" t="s">
        <v>67</v>
      </c>
      <c r="Q392" t="s">
        <v>2077</v>
      </c>
      <c r="R392">
        <v>0.74</v>
      </c>
      <c r="S392" s="2">
        <v>0.74</v>
      </c>
      <c r="T392" s="2" t="str">
        <f t="shared" si="20"/>
        <v>71% to 80%</v>
      </c>
    </row>
    <row r="393" spans="1:21" x14ac:dyDescent="0.3">
      <c r="A393" t="s">
        <v>850</v>
      </c>
      <c r="B393" t="s">
        <v>851</v>
      </c>
      <c r="C393" t="s">
        <v>76</v>
      </c>
      <c r="D393" t="s">
        <v>80</v>
      </c>
      <c r="E393">
        <v>28</v>
      </c>
      <c r="F393" t="str">
        <f t="shared" si="18"/>
        <v>21 to 30</v>
      </c>
      <c r="G393" t="s">
        <v>83</v>
      </c>
      <c r="H393" t="s">
        <v>84</v>
      </c>
      <c r="I393" t="s">
        <v>39</v>
      </c>
      <c r="J393">
        <v>1</v>
      </c>
      <c r="K393" t="str">
        <f t="shared" si="19"/>
        <v>0 to 10</v>
      </c>
      <c r="O393">
        <v>0</v>
      </c>
      <c r="P393">
        <v>0</v>
      </c>
      <c r="Q393" t="s">
        <v>2077</v>
      </c>
      <c r="R393">
        <v>0.7</v>
      </c>
      <c r="S393" s="2">
        <v>0.7</v>
      </c>
      <c r="T393" s="2" t="str">
        <f t="shared" si="20"/>
        <v>61% to 70 %</v>
      </c>
    </row>
    <row r="394" spans="1:21" x14ac:dyDescent="0.3">
      <c r="A394" t="s">
        <v>852</v>
      </c>
      <c r="B394" t="s">
        <v>853</v>
      </c>
      <c r="C394" t="s">
        <v>111</v>
      </c>
      <c r="D394" t="s">
        <v>80</v>
      </c>
      <c r="E394">
        <v>21</v>
      </c>
      <c r="F394" t="str">
        <f t="shared" si="18"/>
        <v>21 to 30</v>
      </c>
      <c r="G394" t="s">
        <v>27</v>
      </c>
      <c r="H394" t="s">
        <v>28</v>
      </c>
      <c r="I394" t="s">
        <v>66</v>
      </c>
      <c r="J394">
        <v>0</v>
      </c>
      <c r="K394" t="str">
        <f t="shared" si="19"/>
        <v>0 to 10</v>
      </c>
      <c r="L394" s="1">
        <v>20</v>
      </c>
      <c r="M394" t="s">
        <v>2065</v>
      </c>
      <c r="N394" t="s">
        <v>2072</v>
      </c>
      <c r="O394">
        <v>2.6</v>
      </c>
      <c r="P394" t="s">
        <v>53</v>
      </c>
      <c r="Q394" t="s">
        <v>2077</v>
      </c>
      <c r="R394">
        <v>0.72</v>
      </c>
      <c r="S394" s="2">
        <v>0.72</v>
      </c>
      <c r="T394" s="2" t="str">
        <f t="shared" si="20"/>
        <v>71% to 80%</v>
      </c>
    </row>
    <row r="395" spans="1:21" x14ac:dyDescent="0.3">
      <c r="A395" t="s">
        <v>854</v>
      </c>
      <c r="B395" t="s">
        <v>855</v>
      </c>
      <c r="C395" t="s">
        <v>76</v>
      </c>
      <c r="D395" t="s">
        <v>80</v>
      </c>
      <c r="E395">
        <v>57</v>
      </c>
      <c r="F395" t="str">
        <f t="shared" si="18"/>
        <v>51 to 60</v>
      </c>
      <c r="G395" t="s">
        <v>83</v>
      </c>
      <c r="H395" t="s">
        <v>84</v>
      </c>
      <c r="I395" t="s">
        <v>66</v>
      </c>
      <c r="J395">
        <v>21</v>
      </c>
      <c r="K395" t="str">
        <f t="shared" si="19"/>
        <v>21 to 30</v>
      </c>
      <c r="L395" s="1">
        <v>40</v>
      </c>
      <c r="M395" t="s">
        <v>2065</v>
      </c>
      <c r="N395" t="s">
        <v>2067</v>
      </c>
      <c r="O395">
        <v>2.5</v>
      </c>
      <c r="P395">
        <v>0</v>
      </c>
      <c r="Q395" t="s">
        <v>2077</v>
      </c>
      <c r="R395">
        <v>0.77</v>
      </c>
      <c r="S395" s="2">
        <v>0.77</v>
      </c>
      <c r="T395" s="2" t="str">
        <f t="shared" si="20"/>
        <v>71% to 80%</v>
      </c>
    </row>
    <row r="396" spans="1:21" x14ac:dyDescent="0.3">
      <c r="A396" t="s">
        <v>856</v>
      </c>
      <c r="B396" t="s">
        <v>857</v>
      </c>
      <c r="C396" t="s">
        <v>111</v>
      </c>
      <c r="D396" t="s">
        <v>80</v>
      </c>
      <c r="E396">
        <v>20</v>
      </c>
      <c r="F396" t="str">
        <f t="shared" si="18"/>
        <v>11 to 20</v>
      </c>
      <c r="G396" t="s">
        <v>87</v>
      </c>
      <c r="H396" t="s">
        <v>88</v>
      </c>
      <c r="I396" t="s">
        <v>33</v>
      </c>
      <c r="J396">
        <v>0</v>
      </c>
      <c r="K396" t="str">
        <f t="shared" si="19"/>
        <v>0 to 10</v>
      </c>
      <c r="L396" s="1">
        <v>30</v>
      </c>
      <c r="M396" t="s">
        <v>2068</v>
      </c>
      <c r="N396" t="s">
        <v>2069</v>
      </c>
      <c r="O396">
        <v>0</v>
      </c>
      <c r="P396">
        <v>1</v>
      </c>
      <c r="Q396" t="s">
        <v>2076</v>
      </c>
      <c r="R396">
        <v>76</v>
      </c>
      <c r="S396" s="2">
        <v>0.76</v>
      </c>
      <c r="T396" s="2" t="str">
        <f t="shared" si="20"/>
        <v>71% to 80%</v>
      </c>
      <c r="U396">
        <v>0.76</v>
      </c>
    </row>
    <row r="397" spans="1:21" x14ac:dyDescent="0.3">
      <c r="A397" t="s">
        <v>858</v>
      </c>
      <c r="B397" t="s">
        <v>859</v>
      </c>
      <c r="C397" t="s">
        <v>76</v>
      </c>
      <c r="D397" t="s">
        <v>80</v>
      </c>
      <c r="E397">
        <v>21</v>
      </c>
      <c r="F397" t="str">
        <f t="shared" si="18"/>
        <v>21 to 30</v>
      </c>
      <c r="G397" t="s">
        <v>37</v>
      </c>
      <c r="H397" t="s">
        <v>38</v>
      </c>
      <c r="I397" t="s">
        <v>63</v>
      </c>
      <c r="J397">
        <v>0</v>
      </c>
      <c r="K397" t="str">
        <f t="shared" si="19"/>
        <v>0 to 10</v>
      </c>
      <c r="L397" s="1">
        <v>100</v>
      </c>
      <c r="M397" t="s">
        <v>2065</v>
      </c>
      <c r="N397" t="s">
        <v>2070</v>
      </c>
      <c r="O397">
        <v>4.3</v>
      </c>
      <c r="P397">
        <v>0</v>
      </c>
      <c r="Q397" t="s">
        <v>2077</v>
      </c>
      <c r="T397" s="2" t="str">
        <f t="shared" si="20"/>
        <v/>
      </c>
    </row>
    <row r="398" spans="1:21" x14ac:dyDescent="0.3">
      <c r="A398" t="s">
        <v>860</v>
      </c>
      <c r="B398" t="s">
        <v>861</v>
      </c>
      <c r="C398" t="s">
        <v>36</v>
      </c>
      <c r="D398" t="s">
        <v>20</v>
      </c>
      <c r="E398">
        <v>58</v>
      </c>
      <c r="F398" t="str">
        <f t="shared" si="18"/>
        <v>51 to 60</v>
      </c>
      <c r="G398" t="s">
        <v>87</v>
      </c>
      <c r="H398" t="s">
        <v>88</v>
      </c>
      <c r="I398" t="s">
        <v>79</v>
      </c>
      <c r="J398">
        <v>35</v>
      </c>
      <c r="K398" t="str">
        <f t="shared" si="19"/>
        <v>31 to 40</v>
      </c>
      <c r="L398" s="1">
        <v>100</v>
      </c>
      <c r="M398" t="s">
        <v>2068</v>
      </c>
      <c r="N398" t="s">
        <v>2070</v>
      </c>
      <c r="O398">
        <v>2.2999999999999998</v>
      </c>
      <c r="P398" t="s">
        <v>96</v>
      </c>
      <c r="Q398" t="s">
        <v>2076</v>
      </c>
      <c r="T398" s="2" t="str">
        <f t="shared" si="20"/>
        <v/>
      </c>
    </row>
    <row r="399" spans="1:21" x14ac:dyDescent="0.3">
      <c r="A399" t="s">
        <v>862</v>
      </c>
      <c r="B399" t="s">
        <v>863</v>
      </c>
      <c r="C399" t="s">
        <v>15</v>
      </c>
      <c r="D399" t="s">
        <v>20</v>
      </c>
      <c r="E399">
        <v>26</v>
      </c>
      <c r="F399" t="str">
        <f t="shared" si="18"/>
        <v>21 to 30</v>
      </c>
      <c r="G399" t="s">
        <v>16</v>
      </c>
      <c r="H399" t="s">
        <v>17</v>
      </c>
      <c r="I399" t="s">
        <v>18</v>
      </c>
      <c r="J399">
        <v>1</v>
      </c>
      <c r="K399" t="str">
        <f t="shared" si="19"/>
        <v>0 to 10</v>
      </c>
      <c r="L399" s="1">
        <v>20</v>
      </c>
      <c r="M399" t="s">
        <v>2065</v>
      </c>
      <c r="N399" t="s">
        <v>2072</v>
      </c>
      <c r="O399">
        <v>0</v>
      </c>
      <c r="P399">
        <v>1</v>
      </c>
      <c r="Q399" t="s">
        <v>2076</v>
      </c>
      <c r="T399" s="2" t="str">
        <f t="shared" si="20"/>
        <v/>
      </c>
    </row>
    <row r="400" spans="1:21" x14ac:dyDescent="0.3">
      <c r="A400" t="s">
        <v>864</v>
      </c>
      <c r="B400" t="s">
        <v>865</v>
      </c>
      <c r="C400" t="s">
        <v>15</v>
      </c>
      <c r="D400" t="s">
        <v>20</v>
      </c>
      <c r="E400">
        <v>49</v>
      </c>
      <c r="F400" t="str">
        <f t="shared" si="18"/>
        <v>41 to 50</v>
      </c>
      <c r="G400" t="s">
        <v>42</v>
      </c>
      <c r="H400" t="s">
        <v>43</v>
      </c>
      <c r="I400" t="s">
        <v>33</v>
      </c>
      <c r="J400">
        <v>19</v>
      </c>
      <c r="K400" t="str">
        <f t="shared" si="19"/>
        <v>11 to 20</v>
      </c>
      <c r="O400">
        <v>5</v>
      </c>
      <c r="P400" t="s">
        <v>96</v>
      </c>
      <c r="Q400" t="s">
        <v>2076</v>
      </c>
      <c r="R400">
        <v>0.83</v>
      </c>
      <c r="S400" s="2">
        <v>0.83</v>
      </c>
      <c r="T400" s="2" t="str">
        <f t="shared" si="20"/>
        <v>81% to 90%</v>
      </c>
    </row>
    <row r="401" spans="1:21" x14ac:dyDescent="0.3">
      <c r="A401" t="s">
        <v>866</v>
      </c>
      <c r="B401" t="s">
        <v>865</v>
      </c>
      <c r="C401" t="s">
        <v>36</v>
      </c>
      <c r="D401" t="s">
        <v>20</v>
      </c>
      <c r="E401">
        <v>38</v>
      </c>
      <c r="F401" t="str">
        <f t="shared" si="18"/>
        <v>31 to 40</v>
      </c>
      <c r="G401" t="s">
        <v>155</v>
      </c>
      <c r="H401" t="s">
        <v>17</v>
      </c>
      <c r="I401" t="s">
        <v>33</v>
      </c>
      <c r="J401">
        <v>9</v>
      </c>
      <c r="K401" t="str">
        <f t="shared" si="19"/>
        <v>0 to 10</v>
      </c>
      <c r="L401" s="1">
        <v>50</v>
      </c>
      <c r="M401" t="s">
        <v>2065</v>
      </c>
      <c r="N401" t="s">
        <v>2071</v>
      </c>
      <c r="O401">
        <v>0</v>
      </c>
      <c r="P401">
        <v>0</v>
      </c>
      <c r="Q401" t="s">
        <v>2077</v>
      </c>
      <c r="R401">
        <v>0.74</v>
      </c>
      <c r="S401" s="2">
        <v>0.74</v>
      </c>
      <c r="T401" s="2" t="str">
        <f t="shared" si="20"/>
        <v>71% to 80%</v>
      </c>
    </row>
    <row r="402" spans="1:21" x14ac:dyDescent="0.3">
      <c r="A402" t="s">
        <v>867</v>
      </c>
      <c r="B402" t="s">
        <v>868</v>
      </c>
      <c r="C402" t="s">
        <v>15</v>
      </c>
      <c r="D402" t="s">
        <v>20</v>
      </c>
      <c r="E402">
        <v>35</v>
      </c>
      <c r="F402" t="str">
        <f t="shared" si="18"/>
        <v>31 to 40</v>
      </c>
      <c r="G402" t="s">
        <v>87</v>
      </c>
      <c r="H402" t="s">
        <v>88</v>
      </c>
      <c r="I402" t="s">
        <v>18</v>
      </c>
      <c r="J402">
        <v>9</v>
      </c>
      <c r="K402" t="str">
        <f t="shared" si="19"/>
        <v>0 to 10</v>
      </c>
      <c r="L402" s="1">
        <v>50</v>
      </c>
      <c r="M402" t="s">
        <v>2068</v>
      </c>
      <c r="N402" t="s">
        <v>2071</v>
      </c>
      <c r="O402">
        <v>3</v>
      </c>
      <c r="P402" t="s">
        <v>53</v>
      </c>
      <c r="Q402" t="s">
        <v>2077</v>
      </c>
      <c r="R402">
        <v>71</v>
      </c>
      <c r="S402" s="2">
        <v>0.71</v>
      </c>
      <c r="T402" s="2" t="str">
        <f t="shared" si="20"/>
        <v>71% to 80%</v>
      </c>
      <c r="U402">
        <v>0.71</v>
      </c>
    </row>
    <row r="403" spans="1:21" x14ac:dyDescent="0.3">
      <c r="A403" t="s">
        <v>869</v>
      </c>
      <c r="B403" t="s">
        <v>870</v>
      </c>
      <c r="C403" t="s">
        <v>15</v>
      </c>
      <c r="D403" t="s">
        <v>20</v>
      </c>
      <c r="E403">
        <v>48</v>
      </c>
      <c r="F403" t="str">
        <f t="shared" si="18"/>
        <v>41 to 50</v>
      </c>
      <c r="G403" t="s">
        <v>16</v>
      </c>
      <c r="H403" t="s">
        <v>17</v>
      </c>
      <c r="I403" t="s">
        <v>79</v>
      </c>
      <c r="J403">
        <v>16</v>
      </c>
      <c r="K403" t="str">
        <f t="shared" si="19"/>
        <v>11 to 20</v>
      </c>
      <c r="L403" s="1">
        <v>30</v>
      </c>
      <c r="M403" t="s">
        <v>2065</v>
      </c>
      <c r="N403" t="s">
        <v>2069</v>
      </c>
      <c r="P403" t="s">
        <v>67</v>
      </c>
      <c r="Q403" t="s">
        <v>2077</v>
      </c>
      <c r="R403">
        <v>0.97</v>
      </c>
      <c r="S403" s="2">
        <v>0.97</v>
      </c>
      <c r="T403" s="2" t="str">
        <f t="shared" si="20"/>
        <v>91% to 100%</v>
      </c>
    </row>
    <row r="404" spans="1:21" x14ac:dyDescent="0.3">
      <c r="A404" t="s">
        <v>871</v>
      </c>
      <c r="B404" t="s">
        <v>872</v>
      </c>
      <c r="C404" t="s">
        <v>15</v>
      </c>
      <c r="D404" t="s">
        <v>20</v>
      </c>
      <c r="E404">
        <v>29</v>
      </c>
      <c r="F404" t="str">
        <f t="shared" si="18"/>
        <v>21 to 30</v>
      </c>
      <c r="G404" t="s">
        <v>16</v>
      </c>
      <c r="H404" t="s">
        <v>17</v>
      </c>
      <c r="I404" t="s">
        <v>79</v>
      </c>
      <c r="K404" t="str">
        <f t="shared" si="19"/>
        <v/>
      </c>
      <c r="L404" s="1">
        <v>20</v>
      </c>
      <c r="M404" t="s">
        <v>2072</v>
      </c>
      <c r="O404">
        <v>0</v>
      </c>
      <c r="P404">
        <v>0</v>
      </c>
      <c r="Q404" t="s">
        <v>2077</v>
      </c>
      <c r="R404">
        <v>0.9</v>
      </c>
      <c r="S404" s="2">
        <v>0.9</v>
      </c>
      <c r="T404" s="2" t="str">
        <f t="shared" si="20"/>
        <v>81% to 90%</v>
      </c>
    </row>
    <row r="405" spans="1:21" x14ac:dyDescent="0.3">
      <c r="A405" t="s">
        <v>873</v>
      </c>
      <c r="B405" t="s">
        <v>874</v>
      </c>
      <c r="C405" t="s">
        <v>15</v>
      </c>
      <c r="D405" t="s">
        <v>20</v>
      </c>
      <c r="E405">
        <v>27</v>
      </c>
      <c r="F405" t="str">
        <f t="shared" si="18"/>
        <v>21 to 30</v>
      </c>
      <c r="G405" t="s">
        <v>158</v>
      </c>
      <c r="H405" t="s">
        <v>159</v>
      </c>
      <c r="I405" t="s">
        <v>18</v>
      </c>
      <c r="J405">
        <v>5</v>
      </c>
      <c r="K405" t="str">
        <f t="shared" si="19"/>
        <v>0 to 10</v>
      </c>
      <c r="L405" s="1">
        <v>75</v>
      </c>
      <c r="M405" t="s">
        <v>2065</v>
      </c>
      <c r="N405" t="s">
        <v>2066</v>
      </c>
      <c r="O405">
        <v>1.4</v>
      </c>
      <c r="P405" t="b">
        <v>1</v>
      </c>
      <c r="Q405" t="s">
        <v>2076</v>
      </c>
      <c r="R405">
        <v>0.64</v>
      </c>
      <c r="S405" s="2">
        <v>0.64</v>
      </c>
      <c r="T405" s="2" t="str">
        <f t="shared" si="20"/>
        <v>61% to 70 %</v>
      </c>
    </row>
    <row r="406" spans="1:21" x14ac:dyDescent="0.3">
      <c r="A406" t="s">
        <v>875</v>
      </c>
      <c r="B406" t="s">
        <v>876</v>
      </c>
      <c r="C406" t="s">
        <v>15</v>
      </c>
      <c r="D406" t="s">
        <v>20</v>
      </c>
      <c r="E406">
        <v>35</v>
      </c>
      <c r="F406" t="str">
        <f t="shared" si="18"/>
        <v>31 to 40</v>
      </c>
      <c r="G406" t="s">
        <v>155</v>
      </c>
      <c r="H406" t="s">
        <v>17</v>
      </c>
      <c r="I406" t="s">
        <v>79</v>
      </c>
      <c r="J406">
        <v>12</v>
      </c>
      <c r="K406" t="str">
        <f t="shared" si="19"/>
        <v>11 to 20</v>
      </c>
      <c r="L406" s="1">
        <v>20</v>
      </c>
      <c r="M406" t="s">
        <v>2068</v>
      </c>
      <c r="N406" t="s">
        <v>2072</v>
      </c>
      <c r="O406">
        <v>4.0999999999999996</v>
      </c>
      <c r="R406">
        <v>0.94</v>
      </c>
      <c r="S406" s="2">
        <v>0.94</v>
      </c>
      <c r="T406" s="2" t="str">
        <f t="shared" si="20"/>
        <v>91% to 100%</v>
      </c>
    </row>
    <row r="407" spans="1:21" x14ac:dyDescent="0.3">
      <c r="A407" t="s">
        <v>877</v>
      </c>
      <c r="B407" t="s">
        <v>878</v>
      </c>
      <c r="C407" t="s">
        <v>15</v>
      </c>
      <c r="D407" t="s">
        <v>20</v>
      </c>
      <c r="E407">
        <v>41</v>
      </c>
      <c r="F407" t="str">
        <f t="shared" si="18"/>
        <v>41 to 50</v>
      </c>
      <c r="G407" t="s">
        <v>58</v>
      </c>
      <c r="H407" t="s">
        <v>59</v>
      </c>
      <c r="I407" t="s">
        <v>33</v>
      </c>
      <c r="K407" t="str">
        <f t="shared" si="19"/>
        <v/>
      </c>
      <c r="L407" s="1">
        <v>20</v>
      </c>
      <c r="M407" t="s">
        <v>2072</v>
      </c>
      <c r="O407">
        <v>2.8</v>
      </c>
      <c r="P407" t="b">
        <v>1</v>
      </c>
      <c r="Q407" t="s">
        <v>2076</v>
      </c>
      <c r="R407">
        <v>0.63</v>
      </c>
      <c r="S407" s="2">
        <v>0.63</v>
      </c>
      <c r="T407" s="2" t="str">
        <f t="shared" si="20"/>
        <v>61% to 70 %</v>
      </c>
    </row>
    <row r="408" spans="1:21" x14ac:dyDescent="0.3">
      <c r="A408" t="s">
        <v>879</v>
      </c>
      <c r="B408" t="s">
        <v>880</v>
      </c>
      <c r="C408" t="s">
        <v>36</v>
      </c>
      <c r="D408" t="s">
        <v>20</v>
      </c>
      <c r="E408">
        <v>45</v>
      </c>
      <c r="F408" t="str">
        <f t="shared" si="18"/>
        <v>41 to 50</v>
      </c>
      <c r="G408" t="s">
        <v>50</v>
      </c>
      <c r="H408" t="s">
        <v>51</v>
      </c>
      <c r="I408" t="s">
        <v>18</v>
      </c>
      <c r="J408">
        <v>25</v>
      </c>
      <c r="K408" t="str">
        <f t="shared" si="19"/>
        <v>21 to 30</v>
      </c>
      <c r="L408" s="1">
        <v>50</v>
      </c>
      <c r="M408" t="s">
        <v>2071</v>
      </c>
      <c r="O408">
        <v>0</v>
      </c>
      <c r="P408" t="s">
        <v>67</v>
      </c>
      <c r="Q408" t="s">
        <v>2077</v>
      </c>
      <c r="R408">
        <v>99</v>
      </c>
      <c r="S408" s="2">
        <v>0.99</v>
      </c>
      <c r="T408" s="2" t="str">
        <f t="shared" si="20"/>
        <v>91% to 100%</v>
      </c>
      <c r="U408">
        <v>0.99</v>
      </c>
    </row>
    <row r="409" spans="1:21" x14ac:dyDescent="0.3">
      <c r="A409" t="s">
        <v>881</v>
      </c>
      <c r="B409" t="s">
        <v>882</v>
      </c>
      <c r="C409" t="s">
        <v>15</v>
      </c>
      <c r="D409" t="s">
        <v>20</v>
      </c>
      <c r="E409">
        <v>30</v>
      </c>
      <c r="F409" t="str">
        <f t="shared" si="18"/>
        <v>21 to 30</v>
      </c>
      <c r="G409" t="s">
        <v>16</v>
      </c>
      <c r="H409" t="s">
        <v>17</v>
      </c>
      <c r="I409" t="s">
        <v>79</v>
      </c>
      <c r="J409">
        <v>4</v>
      </c>
      <c r="K409" t="str">
        <f t="shared" si="19"/>
        <v>0 to 10</v>
      </c>
      <c r="O409">
        <v>2.8</v>
      </c>
      <c r="P409">
        <v>1</v>
      </c>
      <c r="Q409" t="s">
        <v>2076</v>
      </c>
      <c r="R409">
        <v>0.71</v>
      </c>
      <c r="S409" s="2">
        <v>0.71</v>
      </c>
      <c r="T409" s="2" t="str">
        <f t="shared" si="20"/>
        <v>71% to 80%</v>
      </c>
    </row>
    <row r="410" spans="1:21" x14ac:dyDescent="0.3">
      <c r="A410" t="s">
        <v>883</v>
      </c>
      <c r="B410" t="s">
        <v>884</v>
      </c>
      <c r="C410" t="s">
        <v>36</v>
      </c>
      <c r="D410" t="s">
        <v>20</v>
      </c>
      <c r="E410">
        <v>29</v>
      </c>
      <c r="F410" t="str">
        <f t="shared" si="18"/>
        <v>21 to 30</v>
      </c>
      <c r="G410" t="s">
        <v>83</v>
      </c>
      <c r="H410" t="s">
        <v>84</v>
      </c>
      <c r="I410" t="s">
        <v>52</v>
      </c>
      <c r="J410">
        <v>3</v>
      </c>
      <c r="K410" t="str">
        <f t="shared" si="19"/>
        <v>0 to 10</v>
      </c>
      <c r="L410" s="1">
        <v>40</v>
      </c>
      <c r="M410" t="s">
        <v>2068</v>
      </c>
      <c r="N410" t="s">
        <v>2067</v>
      </c>
      <c r="O410">
        <v>0</v>
      </c>
      <c r="P410" t="b">
        <v>1</v>
      </c>
      <c r="Q410" t="s">
        <v>2076</v>
      </c>
      <c r="R410">
        <v>0.81</v>
      </c>
      <c r="S410" s="2">
        <v>0.81</v>
      </c>
      <c r="T410" s="2" t="str">
        <f t="shared" si="20"/>
        <v>81% to 90%</v>
      </c>
    </row>
    <row r="411" spans="1:21" x14ac:dyDescent="0.3">
      <c r="A411" t="s">
        <v>885</v>
      </c>
      <c r="B411" t="s">
        <v>886</v>
      </c>
      <c r="C411" t="s">
        <v>15</v>
      </c>
      <c r="D411" t="s">
        <v>20</v>
      </c>
      <c r="E411">
        <v>42</v>
      </c>
      <c r="F411" t="str">
        <f t="shared" si="18"/>
        <v>41 to 50</v>
      </c>
      <c r="G411" t="s">
        <v>27</v>
      </c>
      <c r="H411" t="s">
        <v>28</v>
      </c>
      <c r="I411" t="s">
        <v>66</v>
      </c>
      <c r="J411">
        <v>8</v>
      </c>
      <c r="K411" t="str">
        <f t="shared" si="19"/>
        <v>0 to 10</v>
      </c>
      <c r="L411" s="1">
        <v>30</v>
      </c>
      <c r="M411" t="s">
        <v>2069</v>
      </c>
      <c r="O411">
        <v>3.6</v>
      </c>
      <c r="P411">
        <v>1</v>
      </c>
      <c r="Q411" t="s">
        <v>2076</v>
      </c>
      <c r="R411">
        <v>0.96</v>
      </c>
      <c r="S411" s="2">
        <v>0.96</v>
      </c>
      <c r="T411" s="2" t="str">
        <f t="shared" si="20"/>
        <v>91% to 100%</v>
      </c>
    </row>
    <row r="412" spans="1:21" x14ac:dyDescent="0.3">
      <c r="A412" t="s">
        <v>887</v>
      </c>
      <c r="B412" t="s">
        <v>888</v>
      </c>
      <c r="C412" t="s">
        <v>15</v>
      </c>
      <c r="D412" t="s">
        <v>20</v>
      </c>
      <c r="E412">
        <v>33</v>
      </c>
      <c r="F412" t="str">
        <f t="shared" si="18"/>
        <v>31 to 40</v>
      </c>
      <c r="G412" t="s">
        <v>31</v>
      </c>
      <c r="H412" t="s">
        <v>32</v>
      </c>
      <c r="I412" t="s">
        <v>39</v>
      </c>
      <c r="J412">
        <v>10</v>
      </c>
      <c r="K412" t="str">
        <f t="shared" si="19"/>
        <v>0 to 10</v>
      </c>
      <c r="L412" s="1">
        <v>30</v>
      </c>
      <c r="M412" t="s">
        <v>2068</v>
      </c>
      <c r="N412" t="s">
        <v>2069</v>
      </c>
      <c r="O412">
        <v>0</v>
      </c>
      <c r="P412" t="s">
        <v>19</v>
      </c>
      <c r="Q412" t="s">
        <v>2076</v>
      </c>
      <c r="R412">
        <v>0.89</v>
      </c>
      <c r="S412" s="2">
        <v>0.89</v>
      </c>
      <c r="T412" s="2" t="str">
        <f t="shared" si="20"/>
        <v>81% to 90%</v>
      </c>
    </row>
    <row r="413" spans="1:21" x14ac:dyDescent="0.3">
      <c r="A413" t="s">
        <v>889</v>
      </c>
      <c r="B413" t="s">
        <v>890</v>
      </c>
      <c r="C413" t="s">
        <v>15</v>
      </c>
      <c r="D413" t="s">
        <v>20</v>
      </c>
      <c r="E413">
        <v>56</v>
      </c>
      <c r="F413" t="str">
        <f t="shared" si="18"/>
        <v>51 to 60</v>
      </c>
      <c r="G413" t="s">
        <v>101</v>
      </c>
      <c r="H413" t="s">
        <v>59</v>
      </c>
      <c r="I413" t="s">
        <v>39</v>
      </c>
      <c r="J413">
        <v>19</v>
      </c>
      <c r="K413" t="str">
        <f t="shared" si="19"/>
        <v>11 to 20</v>
      </c>
      <c r="L413" s="1">
        <v>40</v>
      </c>
      <c r="M413" t="s">
        <v>2067</v>
      </c>
      <c r="O413">
        <v>1.2</v>
      </c>
      <c r="P413" t="s">
        <v>96</v>
      </c>
      <c r="Q413" t="s">
        <v>2076</v>
      </c>
      <c r="R413">
        <v>0.82</v>
      </c>
      <c r="S413" s="2">
        <v>0.82</v>
      </c>
      <c r="T413" s="2" t="str">
        <f t="shared" si="20"/>
        <v>81% to 90%</v>
      </c>
    </row>
    <row r="414" spans="1:21" x14ac:dyDescent="0.3">
      <c r="A414" t="s">
        <v>891</v>
      </c>
      <c r="B414" t="s">
        <v>892</v>
      </c>
      <c r="C414" t="s">
        <v>76</v>
      </c>
      <c r="D414" t="s">
        <v>80</v>
      </c>
      <c r="E414">
        <v>58</v>
      </c>
      <c r="F414" t="str">
        <f t="shared" si="18"/>
        <v>51 to 60</v>
      </c>
      <c r="G414" t="s">
        <v>16</v>
      </c>
      <c r="H414" t="s">
        <v>17</v>
      </c>
      <c r="I414" t="s">
        <v>33</v>
      </c>
      <c r="J414">
        <v>40</v>
      </c>
      <c r="K414" t="str">
        <f t="shared" si="19"/>
        <v>31 to 40</v>
      </c>
      <c r="L414" s="1">
        <v>75</v>
      </c>
      <c r="M414" t="s">
        <v>2066</v>
      </c>
      <c r="O414">
        <v>3.4</v>
      </c>
      <c r="P414">
        <v>1</v>
      </c>
      <c r="Q414" t="s">
        <v>2076</v>
      </c>
      <c r="R414">
        <v>1</v>
      </c>
      <c r="S414" s="2">
        <v>1</v>
      </c>
      <c r="T414" s="2" t="str">
        <f t="shared" si="20"/>
        <v>91% to 100%</v>
      </c>
    </row>
    <row r="415" spans="1:21" x14ac:dyDescent="0.3">
      <c r="A415" t="s">
        <v>893</v>
      </c>
      <c r="B415" t="s">
        <v>894</v>
      </c>
      <c r="C415" t="s">
        <v>76</v>
      </c>
      <c r="D415" t="s">
        <v>80</v>
      </c>
      <c r="E415">
        <v>53</v>
      </c>
      <c r="F415" t="str">
        <f t="shared" si="18"/>
        <v>51 to 60</v>
      </c>
      <c r="G415" t="s">
        <v>50</v>
      </c>
      <c r="H415" t="s">
        <v>51</v>
      </c>
      <c r="I415" t="s">
        <v>79</v>
      </c>
      <c r="J415">
        <v>32</v>
      </c>
      <c r="K415" t="str">
        <f t="shared" si="19"/>
        <v>31 to 40</v>
      </c>
      <c r="L415" s="1">
        <v>20</v>
      </c>
      <c r="M415" t="s">
        <v>2068</v>
      </c>
      <c r="N415" t="s">
        <v>2072</v>
      </c>
      <c r="O415">
        <v>0</v>
      </c>
      <c r="P415" t="s">
        <v>53</v>
      </c>
      <c r="Q415" t="s">
        <v>2077</v>
      </c>
      <c r="T415" s="2" t="str">
        <f t="shared" si="20"/>
        <v/>
      </c>
    </row>
    <row r="416" spans="1:21" x14ac:dyDescent="0.3">
      <c r="A416" t="s">
        <v>895</v>
      </c>
      <c r="B416" t="s">
        <v>896</v>
      </c>
      <c r="C416" t="s">
        <v>76</v>
      </c>
      <c r="D416" t="s">
        <v>80</v>
      </c>
      <c r="E416">
        <v>49</v>
      </c>
      <c r="F416" t="str">
        <f t="shared" si="18"/>
        <v>41 to 50</v>
      </c>
      <c r="G416" t="s">
        <v>50</v>
      </c>
      <c r="H416" t="s">
        <v>51</v>
      </c>
      <c r="I416" t="s">
        <v>63</v>
      </c>
      <c r="J416">
        <v>14</v>
      </c>
      <c r="K416" t="str">
        <f t="shared" si="19"/>
        <v>11 to 20</v>
      </c>
      <c r="L416" s="1">
        <v>40</v>
      </c>
      <c r="M416" t="s">
        <v>2067</v>
      </c>
      <c r="O416">
        <v>1.5</v>
      </c>
      <c r="R416">
        <v>0.6</v>
      </c>
      <c r="S416" s="2">
        <v>0.6</v>
      </c>
      <c r="T416" s="2" t="str">
        <f t="shared" si="20"/>
        <v>50% to 60%</v>
      </c>
    </row>
    <row r="417" spans="1:21" x14ac:dyDescent="0.3">
      <c r="A417" t="s">
        <v>897</v>
      </c>
      <c r="B417" t="s">
        <v>898</v>
      </c>
      <c r="C417" t="s">
        <v>111</v>
      </c>
      <c r="D417" t="s">
        <v>80</v>
      </c>
      <c r="E417">
        <v>58</v>
      </c>
      <c r="F417" t="str">
        <f t="shared" si="18"/>
        <v>51 to 60</v>
      </c>
      <c r="G417" t="s">
        <v>50</v>
      </c>
      <c r="H417" t="s">
        <v>51</v>
      </c>
      <c r="I417" t="s">
        <v>18</v>
      </c>
      <c r="J417">
        <v>25</v>
      </c>
      <c r="K417" t="str">
        <f t="shared" si="19"/>
        <v>21 to 30</v>
      </c>
      <c r="L417" s="1">
        <v>30</v>
      </c>
      <c r="M417" t="s">
        <v>2065</v>
      </c>
      <c r="N417" t="s">
        <v>2069</v>
      </c>
      <c r="O417">
        <v>4.2</v>
      </c>
      <c r="P417" t="s">
        <v>96</v>
      </c>
      <c r="Q417" t="s">
        <v>2076</v>
      </c>
      <c r="R417">
        <v>0.71</v>
      </c>
      <c r="S417" s="2">
        <v>0.71</v>
      </c>
      <c r="T417" s="2" t="str">
        <f t="shared" si="20"/>
        <v>71% to 80%</v>
      </c>
    </row>
    <row r="418" spans="1:21" x14ac:dyDescent="0.3">
      <c r="A418" t="s">
        <v>899</v>
      </c>
      <c r="B418" t="s">
        <v>900</v>
      </c>
      <c r="C418" t="s">
        <v>111</v>
      </c>
      <c r="D418" t="s">
        <v>80</v>
      </c>
      <c r="E418">
        <v>20</v>
      </c>
      <c r="F418" t="str">
        <f t="shared" si="18"/>
        <v>11 to 20</v>
      </c>
      <c r="G418" t="s">
        <v>155</v>
      </c>
      <c r="H418" t="s">
        <v>17</v>
      </c>
      <c r="I418" t="s">
        <v>79</v>
      </c>
      <c r="J418">
        <v>2</v>
      </c>
      <c r="K418" t="str">
        <f t="shared" si="19"/>
        <v>0 to 10</v>
      </c>
      <c r="L418" s="1">
        <v>20</v>
      </c>
      <c r="M418" t="s">
        <v>2065</v>
      </c>
      <c r="N418" t="s">
        <v>2072</v>
      </c>
      <c r="O418">
        <v>2.8</v>
      </c>
      <c r="P418">
        <v>0</v>
      </c>
      <c r="Q418" t="s">
        <v>2077</v>
      </c>
      <c r="R418">
        <v>0.78</v>
      </c>
      <c r="S418" s="2">
        <v>0.78</v>
      </c>
      <c r="T418" s="2" t="str">
        <f t="shared" si="20"/>
        <v>71% to 80%</v>
      </c>
    </row>
    <row r="419" spans="1:21" x14ac:dyDescent="0.3">
      <c r="A419" t="s">
        <v>901</v>
      </c>
      <c r="B419" t="s">
        <v>902</v>
      </c>
      <c r="C419" t="s">
        <v>76</v>
      </c>
      <c r="D419" t="s">
        <v>80</v>
      </c>
      <c r="E419">
        <v>21</v>
      </c>
      <c r="F419" t="str">
        <f t="shared" si="18"/>
        <v>21 to 30</v>
      </c>
      <c r="G419" t="s">
        <v>158</v>
      </c>
      <c r="H419" t="s">
        <v>159</v>
      </c>
      <c r="I419" t="s">
        <v>60</v>
      </c>
      <c r="J419">
        <v>2</v>
      </c>
      <c r="K419" t="str">
        <f t="shared" si="19"/>
        <v>0 to 10</v>
      </c>
      <c r="L419" s="1">
        <v>100</v>
      </c>
      <c r="M419" t="s">
        <v>2070</v>
      </c>
      <c r="O419">
        <v>2.4</v>
      </c>
      <c r="P419" t="s">
        <v>96</v>
      </c>
      <c r="Q419" t="s">
        <v>2076</v>
      </c>
      <c r="T419" s="2" t="str">
        <f t="shared" si="20"/>
        <v/>
      </c>
    </row>
    <row r="420" spans="1:21" x14ac:dyDescent="0.3">
      <c r="A420" t="s">
        <v>903</v>
      </c>
      <c r="B420" t="s">
        <v>904</v>
      </c>
      <c r="C420" t="s">
        <v>76</v>
      </c>
      <c r="D420" t="s">
        <v>80</v>
      </c>
      <c r="E420">
        <v>34</v>
      </c>
      <c r="F420" t="str">
        <f t="shared" si="18"/>
        <v>31 to 40</v>
      </c>
      <c r="G420" t="s">
        <v>188</v>
      </c>
      <c r="H420" t="s">
        <v>189</v>
      </c>
      <c r="I420" t="s">
        <v>66</v>
      </c>
      <c r="J420">
        <v>8</v>
      </c>
      <c r="K420" t="str">
        <f t="shared" si="19"/>
        <v>0 to 10</v>
      </c>
      <c r="L420" s="1">
        <v>30</v>
      </c>
      <c r="M420" t="s">
        <v>2069</v>
      </c>
      <c r="O420">
        <v>3.9</v>
      </c>
      <c r="P420" t="s">
        <v>96</v>
      </c>
      <c r="Q420" t="s">
        <v>2076</v>
      </c>
      <c r="R420">
        <v>0.95</v>
      </c>
      <c r="S420" s="2">
        <v>0.95</v>
      </c>
      <c r="T420" s="2" t="str">
        <f t="shared" si="20"/>
        <v>91% to 100%</v>
      </c>
    </row>
    <row r="421" spans="1:21" x14ac:dyDescent="0.3">
      <c r="A421" t="s">
        <v>905</v>
      </c>
      <c r="B421" t="s">
        <v>906</v>
      </c>
      <c r="C421" t="s">
        <v>76</v>
      </c>
      <c r="D421" t="s">
        <v>80</v>
      </c>
      <c r="E421">
        <v>28</v>
      </c>
      <c r="F421" t="str">
        <f t="shared" si="18"/>
        <v>21 to 30</v>
      </c>
      <c r="G421" t="s">
        <v>83</v>
      </c>
      <c r="H421" t="s">
        <v>84</v>
      </c>
      <c r="I421" t="s">
        <v>79</v>
      </c>
      <c r="J421">
        <v>1</v>
      </c>
      <c r="K421" t="str">
        <f t="shared" si="19"/>
        <v>0 to 10</v>
      </c>
      <c r="L421" s="1">
        <v>20</v>
      </c>
      <c r="M421" t="s">
        <v>2072</v>
      </c>
      <c r="O421">
        <v>3.6</v>
      </c>
      <c r="P421" t="s">
        <v>19</v>
      </c>
      <c r="Q421" t="s">
        <v>2076</v>
      </c>
      <c r="R421">
        <v>0.94</v>
      </c>
      <c r="S421" s="2">
        <v>0.94</v>
      </c>
      <c r="T421" s="2" t="str">
        <f t="shared" si="20"/>
        <v>91% to 100%</v>
      </c>
    </row>
    <row r="422" spans="1:21" x14ac:dyDescent="0.3">
      <c r="A422" t="s">
        <v>907</v>
      </c>
      <c r="B422" t="s">
        <v>908</v>
      </c>
      <c r="C422" t="s">
        <v>111</v>
      </c>
      <c r="D422" t="s">
        <v>80</v>
      </c>
      <c r="E422">
        <v>49</v>
      </c>
      <c r="F422" t="str">
        <f t="shared" si="18"/>
        <v>41 to 50</v>
      </c>
      <c r="G422" t="s">
        <v>254</v>
      </c>
      <c r="H422" t="s">
        <v>255</v>
      </c>
      <c r="I422" t="s">
        <v>33</v>
      </c>
      <c r="J422">
        <v>15</v>
      </c>
      <c r="K422" t="str">
        <f t="shared" si="19"/>
        <v>11 to 20</v>
      </c>
      <c r="L422" s="1">
        <v>75</v>
      </c>
      <c r="M422" t="s">
        <v>2068</v>
      </c>
      <c r="N422" t="s">
        <v>2066</v>
      </c>
      <c r="O422">
        <v>2.6</v>
      </c>
      <c r="P422" t="s">
        <v>53</v>
      </c>
      <c r="Q422" t="s">
        <v>2077</v>
      </c>
      <c r="R422">
        <v>0.83</v>
      </c>
      <c r="S422" s="2">
        <v>0.83</v>
      </c>
      <c r="T422" s="2" t="str">
        <f t="shared" si="20"/>
        <v>81% to 90%</v>
      </c>
    </row>
    <row r="423" spans="1:21" x14ac:dyDescent="0.3">
      <c r="A423" t="s">
        <v>909</v>
      </c>
      <c r="B423" t="s">
        <v>910</v>
      </c>
      <c r="C423" t="s">
        <v>111</v>
      </c>
      <c r="D423" t="s">
        <v>80</v>
      </c>
      <c r="E423">
        <v>45</v>
      </c>
      <c r="F423" t="str">
        <f t="shared" si="18"/>
        <v>41 to 50</v>
      </c>
      <c r="G423" t="s">
        <v>31</v>
      </c>
      <c r="H423" t="s">
        <v>32</v>
      </c>
      <c r="I423" t="s">
        <v>52</v>
      </c>
      <c r="J423">
        <v>19</v>
      </c>
      <c r="K423" t="str">
        <f t="shared" si="19"/>
        <v>11 to 20</v>
      </c>
      <c r="L423" s="1">
        <v>40</v>
      </c>
      <c r="M423" t="s">
        <v>2067</v>
      </c>
      <c r="P423">
        <v>1</v>
      </c>
      <c r="Q423" t="s">
        <v>2076</v>
      </c>
      <c r="R423">
        <v>0.72</v>
      </c>
      <c r="S423" s="2">
        <v>0.72</v>
      </c>
      <c r="T423" s="2" t="str">
        <f t="shared" si="20"/>
        <v>71% to 80%</v>
      </c>
    </row>
    <row r="424" spans="1:21" x14ac:dyDescent="0.3">
      <c r="A424" t="s">
        <v>911</v>
      </c>
      <c r="B424" t="s">
        <v>912</v>
      </c>
      <c r="C424" t="s">
        <v>111</v>
      </c>
      <c r="D424" t="s">
        <v>80</v>
      </c>
      <c r="E424">
        <v>54</v>
      </c>
      <c r="F424" t="str">
        <f t="shared" si="18"/>
        <v>51 to 60</v>
      </c>
      <c r="G424" t="s">
        <v>31</v>
      </c>
      <c r="H424" t="s">
        <v>32</v>
      </c>
      <c r="I424" t="s">
        <v>47</v>
      </c>
      <c r="J424">
        <v>13</v>
      </c>
      <c r="K424" t="str">
        <f t="shared" si="19"/>
        <v>11 to 20</v>
      </c>
      <c r="L424" s="1">
        <v>75</v>
      </c>
      <c r="M424" t="s">
        <v>2066</v>
      </c>
      <c r="O424">
        <v>2.9</v>
      </c>
      <c r="R424">
        <v>92</v>
      </c>
      <c r="S424" s="2">
        <v>0.92</v>
      </c>
      <c r="T424" s="2" t="str">
        <f t="shared" si="20"/>
        <v>91% to 100%</v>
      </c>
      <c r="U424">
        <v>0.92</v>
      </c>
    </row>
    <row r="425" spans="1:21" x14ac:dyDescent="0.3">
      <c r="A425" t="s">
        <v>913</v>
      </c>
      <c r="B425" t="s">
        <v>914</v>
      </c>
      <c r="C425" t="s">
        <v>111</v>
      </c>
      <c r="D425" t="s">
        <v>80</v>
      </c>
      <c r="E425">
        <v>29</v>
      </c>
      <c r="F425" t="str">
        <f t="shared" si="18"/>
        <v>21 to 30</v>
      </c>
      <c r="G425" t="s">
        <v>37</v>
      </c>
      <c r="H425" t="s">
        <v>38</v>
      </c>
      <c r="I425" t="s">
        <v>60</v>
      </c>
      <c r="J425">
        <v>11</v>
      </c>
      <c r="K425" t="str">
        <f t="shared" si="19"/>
        <v>11 to 20</v>
      </c>
      <c r="L425" s="1">
        <v>100</v>
      </c>
      <c r="M425" t="s">
        <v>2070</v>
      </c>
      <c r="O425">
        <v>2.2999999999999998</v>
      </c>
      <c r="P425" t="b">
        <v>1</v>
      </c>
      <c r="Q425" t="s">
        <v>2076</v>
      </c>
      <c r="R425">
        <v>0.72</v>
      </c>
      <c r="S425" s="2">
        <v>0.72</v>
      </c>
      <c r="T425" s="2" t="str">
        <f t="shared" si="20"/>
        <v>71% to 80%</v>
      </c>
    </row>
    <row r="426" spans="1:21" x14ac:dyDescent="0.3">
      <c r="A426" t="s">
        <v>915</v>
      </c>
      <c r="B426" t="s">
        <v>916</v>
      </c>
      <c r="C426" t="s">
        <v>76</v>
      </c>
      <c r="D426" t="s">
        <v>80</v>
      </c>
      <c r="E426">
        <v>58</v>
      </c>
      <c r="F426" t="str">
        <f t="shared" si="18"/>
        <v>51 to 60</v>
      </c>
      <c r="G426" t="s">
        <v>118</v>
      </c>
      <c r="H426" t="s">
        <v>119</v>
      </c>
      <c r="I426" t="s">
        <v>18</v>
      </c>
      <c r="J426">
        <v>29</v>
      </c>
      <c r="K426" t="str">
        <f t="shared" si="19"/>
        <v>21 to 30</v>
      </c>
      <c r="L426" s="1">
        <v>30</v>
      </c>
      <c r="M426" t="s">
        <v>2069</v>
      </c>
      <c r="O426">
        <v>3.3</v>
      </c>
      <c r="P426" t="s">
        <v>19</v>
      </c>
      <c r="Q426" t="s">
        <v>2076</v>
      </c>
      <c r="R426">
        <v>0.89</v>
      </c>
      <c r="S426" s="2">
        <v>0.89</v>
      </c>
      <c r="T426" s="2" t="str">
        <f t="shared" si="20"/>
        <v>81% to 90%</v>
      </c>
    </row>
    <row r="427" spans="1:21" x14ac:dyDescent="0.3">
      <c r="A427" t="s">
        <v>917</v>
      </c>
      <c r="B427" t="s">
        <v>918</v>
      </c>
      <c r="C427" t="s">
        <v>76</v>
      </c>
      <c r="D427" t="s">
        <v>80</v>
      </c>
      <c r="E427">
        <v>33</v>
      </c>
      <c r="F427" t="str">
        <f t="shared" si="18"/>
        <v>31 to 40</v>
      </c>
      <c r="G427" t="s">
        <v>101</v>
      </c>
      <c r="H427" t="s">
        <v>59</v>
      </c>
      <c r="I427" t="s">
        <v>39</v>
      </c>
      <c r="J427">
        <v>11</v>
      </c>
      <c r="K427" t="str">
        <f t="shared" si="19"/>
        <v>11 to 20</v>
      </c>
      <c r="O427">
        <v>4.5999999999999996</v>
      </c>
      <c r="P427" t="s">
        <v>19</v>
      </c>
      <c r="Q427" t="s">
        <v>2076</v>
      </c>
      <c r="T427" s="2" t="str">
        <f t="shared" si="20"/>
        <v/>
      </c>
    </row>
    <row r="428" spans="1:21" x14ac:dyDescent="0.3">
      <c r="A428" t="s">
        <v>919</v>
      </c>
      <c r="B428" t="s">
        <v>920</v>
      </c>
      <c r="C428" t="s">
        <v>111</v>
      </c>
      <c r="D428" t="s">
        <v>80</v>
      </c>
      <c r="E428">
        <v>30</v>
      </c>
      <c r="F428" t="str">
        <f t="shared" si="18"/>
        <v>21 to 30</v>
      </c>
      <c r="G428" t="s">
        <v>42</v>
      </c>
      <c r="H428" t="s">
        <v>43</v>
      </c>
      <c r="I428" t="s">
        <v>39</v>
      </c>
      <c r="J428">
        <v>0</v>
      </c>
      <c r="K428" t="str">
        <f t="shared" si="19"/>
        <v>0 to 10</v>
      </c>
      <c r="O428">
        <v>0</v>
      </c>
      <c r="P428">
        <v>0</v>
      </c>
      <c r="Q428" t="s">
        <v>2077</v>
      </c>
      <c r="T428" s="2" t="str">
        <f t="shared" si="20"/>
        <v/>
      </c>
    </row>
    <row r="429" spans="1:21" x14ac:dyDescent="0.3">
      <c r="A429" t="s">
        <v>921</v>
      </c>
      <c r="B429" t="s">
        <v>922</v>
      </c>
      <c r="C429" t="s">
        <v>111</v>
      </c>
      <c r="D429" t="s">
        <v>80</v>
      </c>
      <c r="E429">
        <v>57</v>
      </c>
      <c r="F429" t="str">
        <f t="shared" si="18"/>
        <v>51 to 60</v>
      </c>
      <c r="G429" t="s">
        <v>23</v>
      </c>
      <c r="H429" t="s">
        <v>24</v>
      </c>
      <c r="I429" t="s">
        <v>63</v>
      </c>
      <c r="J429">
        <v>10</v>
      </c>
      <c r="K429" t="str">
        <f t="shared" si="19"/>
        <v>0 to 10</v>
      </c>
      <c r="L429" s="1">
        <v>100</v>
      </c>
      <c r="M429" t="s">
        <v>2065</v>
      </c>
      <c r="N429" t="s">
        <v>2070</v>
      </c>
      <c r="O429">
        <v>4.3</v>
      </c>
      <c r="P429" t="b">
        <v>0</v>
      </c>
      <c r="Q429" t="s">
        <v>2077</v>
      </c>
      <c r="T429" s="2" t="str">
        <f t="shared" si="20"/>
        <v/>
      </c>
    </row>
    <row r="430" spans="1:21" x14ac:dyDescent="0.3">
      <c r="A430" t="s">
        <v>923</v>
      </c>
      <c r="B430" t="s">
        <v>924</v>
      </c>
      <c r="C430" t="s">
        <v>111</v>
      </c>
      <c r="D430" t="s">
        <v>80</v>
      </c>
      <c r="E430">
        <v>24</v>
      </c>
      <c r="F430" t="str">
        <f t="shared" si="18"/>
        <v>21 to 30</v>
      </c>
      <c r="G430" t="s">
        <v>188</v>
      </c>
      <c r="H430" t="s">
        <v>189</v>
      </c>
      <c r="I430" t="s">
        <v>52</v>
      </c>
      <c r="J430">
        <v>6</v>
      </c>
      <c r="K430" t="str">
        <f t="shared" si="19"/>
        <v>0 to 10</v>
      </c>
      <c r="L430" s="1">
        <v>30</v>
      </c>
      <c r="M430" t="s">
        <v>2069</v>
      </c>
      <c r="O430">
        <v>1.1000000000000001</v>
      </c>
      <c r="P430" t="s">
        <v>19</v>
      </c>
      <c r="Q430" t="s">
        <v>2076</v>
      </c>
      <c r="T430" s="2" t="str">
        <f t="shared" si="20"/>
        <v/>
      </c>
    </row>
    <row r="431" spans="1:21" x14ac:dyDescent="0.3">
      <c r="A431" t="s">
        <v>925</v>
      </c>
      <c r="B431" t="s">
        <v>926</v>
      </c>
      <c r="C431" t="s">
        <v>76</v>
      </c>
      <c r="D431" t="s">
        <v>80</v>
      </c>
      <c r="E431">
        <v>47</v>
      </c>
      <c r="F431" t="str">
        <f t="shared" si="18"/>
        <v>41 to 50</v>
      </c>
      <c r="G431" t="s">
        <v>27</v>
      </c>
      <c r="H431" t="s">
        <v>28</v>
      </c>
      <c r="I431" t="s">
        <v>33</v>
      </c>
      <c r="J431">
        <v>15</v>
      </c>
      <c r="K431" t="str">
        <f t="shared" si="19"/>
        <v>11 to 20</v>
      </c>
      <c r="L431" s="1">
        <v>40</v>
      </c>
      <c r="M431" t="s">
        <v>2067</v>
      </c>
      <c r="O431">
        <v>2.1</v>
      </c>
      <c r="P431" t="s">
        <v>19</v>
      </c>
      <c r="Q431" t="s">
        <v>2076</v>
      </c>
      <c r="R431">
        <v>0.94</v>
      </c>
      <c r="S431" s="2">
        <v>0.94</v>
      </c>
      <c r="T431" s="2" t="str">
        <f t="shared" si="20"/>
        <v>91% to 100%</v>
      </c>
    </row>
    <row r="432" spans="1:21" x14ac:dyDescent="0.3">
      <c r="A432" t="s">
        <v>927</v>
      </c>
      <c r="B432" t="s">
        <v>928</v>
      </c>
      <c r="C432" t="s">
        <v>76</v>
      </c>
      <c r="D432" t="s">
        <v>80</v>
      </c>
      <c r="E432">
        <v>45</v>
      </c>
      <c r="F432" t="str">
        <f t="shared" si="18"/>
        <v>41 to 50</v>
      </c>
      <c r="G432" t="s">
        <v>101</v>
      </c>
      <c r="H432" t="s">
        <v>59</v>
      </c>
      <c r="I432" t="s">
        <v>18</v>
      </c>
      <c r="J432">
        <v>8</v>
      </c>
      <c r="K432" t="str">
        <f t="shared" si="19"/>
        <v>0 to 10</v>
      </c>
      <c r="L432" s="1">
        <v>40</v>
      </c>
      <c r="M432" t="s">
        <v>2067</v>
      </c>
      <c r="O432">
        <v>0</v>
      </c>
      <c r="P432">
        <v>0</v>
      </c>
      <c r="Q432" t="s">
        <v>2077</v>
      </c>
      <c r="R432">
        <v>78</v>
      </c>
      <c r="S432" s="2">
        <v>0.78</v>
      </c>
      <c r="T432" s="2" t="str">
        <f t="shared" si="20"/>
        <v>71% to 80%</v>
      </c>
      <c r="U432">
        <v>0.78</v>
      </c>
    </row>
    <row r="433" spans="1:21" x14ac:dyDescent="0.3">
      <c r="A433" t="s">
        <v>929</v>
      </c>
      <c r="B433" t="s">
        <v>930</v>
      </c>
      <c r="C433" t="s">
        <v>36</v>
      </c>
      <c r="D433" t="s">
        <v>20</v>
      </c>
      <c r="E433">
        <v>55</v>
      </c>
      <c r="F433" t="str">
        <f t="shared" si="18"/>
        <v>51 to 60</v>
      </c>
      <c r="G433" t="s">
        <v>254</v>
      </c>
      <c r="H433" t="s">
        <v>255</v>
      </c>
      <c r="I433" t="s">
        <v>66</v>
      </c>
      <c r="J433">
        <v>15</v>
      </c>
      <c r="K433" t="str">
        <f t="shared" si="19"/>
        <v>11 to 20</v>
      </c>
      <c r="L433" s="1">
        <v>40</v>
      </c>
      <c r="M433" t="s">
        <v>2067</v>
      </c>
      <c r="O433">
        <v>4.5</v>
      </c>
      <c r="T433" s="2" t="str">
        <f t="shared" si="20"/>
        <v/>
      </c>
    </row>
    <row r="434" spans="1:21" x14ac:dyDescent="0.3">
      <c r="A434" t="s">
        <v>931</v>
      </c>
      <c r="B434" t="s">
        <v>932</v>
      </c>
      <c r="C434" t="s">
        <v>15</v>
      </c>
      <c r="D434" t="s">
        <v>20</v>
      </c>
      <c r="E434">
        <v>46</v>
      </c>
      <c r="F434" t="str">
        <f t="shared" si="18"/>
        <v>41 to 50</v>
      </c>
      <c r="G434" t="s">
        <v>139</v>
      </c>
      <c r="H434" t="s">
        <v>59</v>
      </c>
      <c r="I434" t="s">
        <v>63</v>
      </c>
      <c r="J434">
        <v>24</v>
      </c>
      <c r="K434" t="str">
        <f t="shared" si="19"/>
        <v>21 to 30</v>
      </c>
      <c r="L434" s="1">
        <v>40</v>
      </c>
      <c r="M434" t="s">
        <v>2067</v>
      </c>
      <c r="O434">
        <v>3.3</v>
      </c>
      <c r="P434">
        <v>1</v>
      </c>
      <c r="Q434" t="s">
        <v>2076</v>
      </c>
      <c r="R434">
        <v>0.87</v>
      </c>
      <c r="S434" s="2">
        <v>0.87</v>
      </c>
      <c r="T434" s="2" t="str">
        <f t="shared" si="20"/>
        <v>81% to 90%</v>
      </c>
    </row>
    <row r="435" spans="1:21" x14ac:dyDescent="0.3">
      <c r="A435" t="s">
        <v>933</v>
      </c>
      <c r="B435" t="s">
        <v>934</v>
      </c>
      <c r="C435" t="s">
        <v>15</v>
      </c>
      <c r="D435" t="s">
        <v>20</v>
      </c>
      <c r="E435">
        <v>55</v>
      </c>
      <c r="F435" t="str">
        <f t="shared" si="18"/>
        <v>51 to 60</v>
      </c>
      <c r="G435" t="s">
        <v>87</v>
      </c>
      <c r="H435" t="s">
        <v>88</v>
      </c>
      <c r="I435" t="s">
        <v>47</v>
      </c>
      <c r="J435">
        <v>6</v>
      </c>
      <c r="K435" t="str">
        <f t="shared" si="19"/>
        <v>0 to 10</v>
      </c>
      <c r="L435" s="1">
        <v>40</v>
      </c>
      <c r="M435" t="s">
        <v>2065</v>
      </c>
      <c r="N435" t="s">
        <v>2067</v>
      </c>
      <c r="O435">
        <v>3.6</v>
      </c>
      <c r="P435" t="s">
        <v>96</v>
      </c>
      <c r="Q435" t="s">
        <v>2076</v>
      </c>
      <c r="T435" s="2" t="str">
        <f t="shared" si="20"/>
        <v/>
      </c>
    </row>
    <row r="436" spans="1:21" x14ac:dyDescent="0.3">
      <c r="A436" t="s">
        <v>935</v>
      </c>
      <c r="B436" t="s">
        <v>936</v>
      </c>
      <c r="C436" t="s">
        <v>15</v>
      </c>
      <c r="D436" t="s">
        <v>20</v>
      </c>
      <c r="E436">
        <v>32</v>
      </c>
      <c r="F436" t="str">
        <f t="shared" si="18"/>
        <v>31 to 40</v>
      </c>
      <c r="G436" t="s">
        <v>23</v>
      </c>
      <c r="H436" t="s">
        <v>24</v>
      </c>
      <c r="I436" t="s">
        <v>33</v>
      </c>
      <c r="K436" t="str">
        <f t="shared" si="19"/>
        <v/>
      </c>
      <c r="L436" s="1">
        <v>30</v>
      </c>
      <c r="M436" t="s">
        <v>2069</v>
      </c>
      <c r="O436">
        <v>1.9</v>
      </c>
      <c r="P436" t="b">
        <v>1</v>
      </c>
      <c r="Q436" t="s">
        <v>2076</v>
      </c>
      <c r="R436">
        <v>0.96</v>
      </c>
      <c r="S436" s="2">
        <v>0.96</v>
      </c>
      <c r="T436" s="2" t="str">
        <f t="shared" si="20"/>
        <v>91% to 100%</v>
      </c>
    </row>
    <row r="437" spans="1:21" x14ac:dyDescent="0.3">
      <c r="A437" t="s">
        <v>937</v>
      </c>
      <c r="B437" t="s">
        <v>938</v>
      </c>
      <c r="C437" t="s">
        <v>36</v>
      </c>
      <c r="D437" t="s">
        <v>20</v>
      </c>
      <c r="E437">
        <v>31</v>
      </c>
      <c r="F437" t="str">
        <f t="shared" si="18"/>
        <v>31 to 40</v>
      </c>
      <c r="G437" t="s">
        <v>58</v>
      </c>
      <c r="H437" t="s">
        <v>59</v>
      </c>
      <c r="I437" t="s">
        <v>33</v>
      </c>
      <c r="J437">
        <v>4</v>
      </c>
      <c r="K437" t="str">
        <f t="shared" si="19"/>
        <v>0 to 10</v>
      </c>
      <c r="L437" s="1">
        <v>75</v>
      </c>
      <c r="M437" t="s">
        <v>2068</v>
      </c>
      <c r="N437" t="s">
        <v>2066</v>
      </c>
      <c r="O437">
        <v>1.1000000000000001</v>
      </c>
      <c r="P437" t="b">
        <v>1</v>
      </c>
      <c r="Q437" t="s">
        <v>2076</v>
      </c>
      <c r="R437">
        <v>0.64</v>
      </c>
      <c r="S437" s="2">
        <v>0.64</v>
      </c>
      <c r="T437" s="2" t="str">
        <f t="shared" si="20"/>
        <v>61% to 70 %</v>
      </c>
    </row>
    <row r="438" spans="1:21" x14ac:dyDescent="0.3">
      <c r="A438" t="s">
        <v>939</v>
      </c>
      <c r="B438" t="s">
        <v>940</v>
      </c>
      <c r="C438" t="s">
        <v>15</v>
      </c>
      <c r="D438" t="s">
        <v>20</v>
      </c>
      <c r="E438">
        <v>53</v>
      </c>
      <c r="F438" t="str">
        <f t="shared" si="18"/>
        <v>51 to 60</v>
      </c>
      <c r="G438" t="s">
        <v>58</v>
      </c>
      <c r="H438" t="s">
        <v>59</v>
      </c>
      <c r="I438" t="s">
        <v>66</v>
      </c>
      <c r="J438">
        <v>5</v>
      </c>
      <c r="K438" t="str">
        <f t="shared" si="19"/>
        <v>0 to 10</v>
      </c>
      <c r="L438" s="1">
        <v>75</v>
      </c>
      <c r="M438" t="s">
        <v>2066</v>
      </c>
      <c r="O438">
        <v>1.1000000000000001</v>
      </c>
      <c r="P438">
        <v>0</v>
      </c>
      <c r="Q438" t="s">
        <v>2077</v>
      </c>
      <c r="R438">
        <v>92</v>
      </c>
      <c r="S438" s="2">
        <v>0.92</v>
      </c>
      <c r="T438" s="2" t="str">
        <f t="shared" si="20"/>
        <v>91% to 100%</v>
      </c>
      <c r="U438">
        <v>0.92</v>
      </c>
    </row>
    <row r="439" spans="1:21" x14ac:dyDescent="0.3">
      <c r="A439" t="s">
        <v>941</v>
      </c>
      <c r="B439" t="s">
        <v>942</v>
      </c>
      <c r="C439" t="s">
        <v>15</v>
      </c>
      <c r="D439" t="s">
        <v>20</v>
      </c>
      <c r="E439">
        <v>40</v>
      </c>
      <c r="F439" t="str">
        <f t="shared" si="18"/>
        <v>31 to 40</v>
      </c>
      <c r="G439" t="s">
        <v>31</v>
      </c>
      <c r="H439" t="s">
        <v>32</v>
      </c>
      <c r="I439" t="s">
        <v>33</v>
      </c>
      <c r="J439">
        <v>2</v>
      </c>
      <c r="K439" t="str">
        <f t="shared" si="19"/>
        <v>0 to 10</v>
      </c>
      <c r="L439" s="1">
        <v>75</v>
      </c>
      <c r="M439" t="s">
        <v>2066</v>
      </c>
      <c r="O439">
        <v>4.5</v>
      </c>
      <c r="P439" t="s">
        <v>19</v>
      </c>
      <c r="Q439" t="s">
        <v>2076</v>
      </c>
      <c r="T439" s="2" t="str">
        <f t="shared" si="20"/>
        <v/>
      </c>
    </row>
    <row r="440" spans="1:21" x14ac:dyDescent="0.3">
      <c r="A440" t="s">
        <v>943</v>
      </c>
      <c r="B440" t="s">
        <v>944</v>
      </c>
      <c r="C440" t="s">
        <v>15</v>
      </c>
      <c r="D440" t="s">
        <v>20</v>
      </c>
      <c r="E440">
        <v>29</v>
      </c>
      <c r="F440" t="str">
        <f t="shared" si="18"/>
        <v>21 to 30</v>
      </c>
      <c r="G440" t="s">
        <v>42</v>
      </c>
      <c r="H440" t="s">
        <v>43</v>
      </c>
      <c r="I440" t="s">
        <v>33</v>
      </c>
      <c r="J440">
        <v>4</v>
      </c>
      <c r="K440" t="str">
        <f t="shared" si="19"/>
        <v>0 to 10</v>
      </c>
      <c r="L440" s="1">
        <v>30</v>
      </c>
      <c r="M440" t="s">
        <v>2069</v>
      </c>
      <c r="O440">
        <v>0</v>
      </c>
      <c r="P440" t="s">
        <v>96</v>
      </c>
      <c r="Q440" t="s">
        <v>2076</v>
      </c>
      <c r="R440">
        <v>0.82</v>
      </c>
      <c r="S440" s="2">
        <v>0.82</v>
      </c>
      <c r="T440" s="2" t="str">
        <f t="shared" si="20"/>
        <v>81% to 90%</v>
      </c>
    </row>
    <row r="441" spans="1:21" x14ac:dyDescent="0.3">
      <c r="A441" t="s">
        <v>945</v>
      </c>
      <c r="B441" t="s">
        <v>946</v>
      </c>
      <c r="C441" t="s">
        <v>15</v>
      </c>
      <c r="D441" t="s">
        <v>20</v>
      </c>
      <c r="E441">
        <v>48</v>
      </c>
      <c r="F441" t="str">
        <f t="shared" si="18"/>
        <v>41 to 50</v>
      </c>
      <c r="G441" t="s">
        <v>118</v>
      </c>
      <c r="H441" t="s">
        <v>119</v>
      </c>
      <c r="I441" t="s">
        <v>47</v>
      </c>
      <c r="J441">
        <v>18</v>
      </c>
      <c r="K441" t="str">
        <f t="shared" si="19"/>
        <v>11 to 20</v>
      </c>
      <c r="L441" s="1">
        <v>40</v>
      </c>
      <c r="M441" t="s">
        <v>2068</v>
      </c>
      <c r="N441" t="s">
        <v>2067</v>
      </c>
      <c r="P441">
        <v>1</v>
      </c>
      <c r="Q441" t="s">
        <v>2076</v>
      </c>
      <c r="R441">
        <v>0.88</v>
      </c>
      <c r="S441" s="2">
        <v>0.88</v>
      </c>
      <c r="T441" s="2" t="str">
        <f t="shared" si="20"/>
        <v>81% to 90%</v>
      </c>
    </row>
    <row r="442" spans="1:21" x14ac:dyDescent="0.3">
      <c r="A442" t="s">
        <v>947</v>
      </c>
      <c r="B442" t="s">
        <v>948</v>
      </c>
      <c r="C442" t="s">
        <v>15</v>
      </c>
      <c r="D442" t="s">
        <v>20</v>
      </c>
      <c r="E442">
        <v>22</v>
      </c>
      <c r="F442" t="str">
        <f t="shared" si="18"/>
        <v>21 to 30</v>
      </c>
      <c r="G442" t="s">
        <v>31</v>
      </c>
      <c r="H442" t="s">
        <v>32</v>
      </c>
      <c r="I442" t="s">
        <v>60</v>
      </c>
      <c r="J442">
        <v>0</v>
      </c>
      <c r="K442" t="str">
        <f t="shared" si="19"/>
        <v>0 to 10</v>
      </c>
      <c r="L442" s="1">
        <v>40</v>
      </c>
      <c r="M442" t="s">
        <v>2067</v>
      </c>
      <c r="O442">
        <v>1.3</v>
      </c>
      <c r="P442">
        <v>1</v>
      </c>
      <c r="Q442" t="s">
        <v>2076</v>
      </c>
      <c r="R442">
        <v>0.78</v>
      </c>
      <c r="S442" s="2">
        <v>0.78</v>
      </c>
      <c r="T442" s="2" t="str">
        <f t="shared" si="20"/>
        <v>71% to 80%</v>
      </c>
    </row>
    <row r="443" spans="1:21" x14ac:dyDescent="0.3">
      <c r="A443" t="s">
        <v>949</v>
      </c>
      <c r="B443" t="s">
        <v>950</v>
      </c>
      <c r="C443" t="s">
        <v>111</v>
      </c>
      <c r="D443" t="s">
        <v>80</v>
      </c>
      <c r="E443">
        <v>54</v>
      </c>
      <c r="F443" t="str">
        <f t="shared" si="18"/>
        <v>51 to 60</v>
      </c>
      <c r="G443" t="s">
        <v>139</v>
      </c>
      <c r="H443" t="s">
        <v>59</v>
      </c>
      <c r="I443" t="s">
        <v>52</v>
      </c>
      <c r="J443">
        <v>19</v>
      </c>
      <c r="K443" t="str">
        <f t="shared" si="19"/>
        <v>11 to 20</v>
      </c>
      <c r="L443" s="1">
        <v>75</v>
      </c>
      <c r="M443" t="s">
        <v>2066</v>
      </c>
      <c r="O443">
        <v>0</v>
      </c>
      <c r="T443" s="2" t="str">
        <f t="shared" si="20"/>
        <v/>
      </c>
    </row>
    <row r="444" spans="1:21" x14ac:dyDescent="0.3">
      <c r="A444" t="s">
        <v>951</v>
      </c>
      <c r="B444" t="s">
        <v>952</v>
      </c>
      <c r="C444" t="s">
        <v>111</v>
      </c>
      <c r="D444" t="s">
        <v>80</v>
      </c>
      <c r="E444">
        <v>25</v>
      </c>
      <c r="F444" t="str">
        <f t="shared" si="18"/>
        <v>21 to 30</v>
      </c>
      <c r="G444" t="s">
        <v>46</v>
      </c>
      <c r="H444" t="s">
        <v>17</v>
      </c>
      <c r="I444" t="s">
        <v>39</v>
      </c>
      <c r="J444">
        <v>1</v>
      </c>
      <c r="K444" t="str">
        <f t="shared" si="19"/>
        <v>0 to 10</v>
      </c>
      <c r="L444" s="1">
        <v>75</v>
      </c>
      <c r="M444" t="s">
        <v>2066</v>
      </c>
      <c r="O444">
        <v>0</v>
      </c>
      <c r="P444">
        <v>1</v>
      </c>
      <c r="Q444" t="s">
        <v>2076</v>
      </c>
      <c r="T444" s="2" t="str">
        <f t="shared" si="20"/>
        <v/>
      </c>
    </row>
    <row r="445" spans="1:21" x14ac:dyDescent="0.3">
      <c r="A445" t="s">
        <v>953</v>
      </c>
      <c r="B445" t="s">
        <v>954</v>
      </c>
      <c r="C445" t="s">
        <v>76</v>
      </c>
      <c r="D445" t="s">
        <v>80</v>
      </c>
      <c r="E445">
        <v>20</v>
      </c>
      <c r="F445" t="str">
        <f t="shared" si="18"/>
        <v>11 to 20</v>
      </c>
      <c r="G445" t="s">
        <v>155</v>
      </c>
      <c r="H445" t="s">
        <v>17</v>
      </c>
      <c r="I445" t="s">
        <v>18</v>
      </c>
      <c r="J445">
        <v>0</v>
      </c>
      <c r="K445" t="str">
        <f t="shared" si="19"/>
        <v>0 to 10</v>
      </c>
      <c r="L445" s="1">
        <v>75</v>
      </c>
      <c r="M445" t="s">
        <v>2066</v>
      </c>
      <c r="O445">
        <v>3.2</v>
      </c>
      <c r="P445">
        <v>1</v>
      </c>
      <c r="Q445" t="s">
        <v>2076</v>
      </c>
      <c r="R445">
        <v>0.74</v>
      </c>
      <c r="S445" s="2">
        <v>0.74</v>
      </c>
      <c r="T445" s="2" t="str">
        <f t="shared" si="20"/>
        <v>71% to 80%</v>
      </c>
    </row>
    <row r="446" spans="1:21" x14ac:dyDescent="0.3">
      <c r="A446" t="s">
        <v>955</v>
      </c>
      <c r="B446" t="s">
        <v>956</v>
      </c>
      <c r="C446" t="s">
        <v>76</v>
      </c>
      <c r="D446" t="s">
        <v>80</v>
      </c>
      <c r="E446">
        <v>52</v>
      </c>
      <c r="F446" t="str">
        <f t="shared" si="18"/>
        <v>51 to 60</v>
      </c>
      <c r="G446" t="s">
        <v>91</v>
      </c>
      <c r="H446" t="s">
        <v>59</v>
      </c>
      <c r="I446" t="s">
        <v>60</v>
      </c>
      <c r="J446">
        <v>22</v>
      </c>
      <c r="K446" t="str">
        <f t="shared" si="19"/>
        <v>21 to 30</v>
      </c>
      <c r="L446" s="1">
        <v>20</v>
      </c>
      <c r="M446" t="s">
        <v>2065</v>
      </c>
      <c r="N446" t="s">
        <v>2072</v>
      </c>
      <c r="O446">
        <v>0</v>
      </c>
      <c r="P446">
        <v>0</v>
      </c>
      <c r="Q446" t="s">
        <v>2077</v>
      </c>
      <c r="T446" s="2" t="str">
        <f t="shared" si="20"/>
        <v/>
      </c>
    </row>
    <row r="447" spans="1:21" x14ac:dyDescent="0.3">
      <c r="A447" t="s">
        <v>957</v>
      </c>
      <c r="B447" t="s">
        <v>958</v>
      </c>
      <c r="C447" t="s">
        <v>76</v>
      </c>
      <c r="D447" t="s">
        <v>80</v>
      </c>
      <c r="E447">
        <v>58</v>
      </c>
      <c r="F447" t="str">
        <f t="shared" si="18"/>
        <v>51 to 60</v>
      </c>
      <c r="G447" t="s">
        <v>37</v>
      </c>
      <c r="H447" t="s">
        <v>38</v>
      </c>
      <c r="I447" t="s">
        <v>79</v>
      </c>
      <c r="J447">
        <v>17</v>
      </c>
      <c r="K447" t="str">
        <f t="shared" si="19"/>
        <v>11 to 20</v>
      </c>
      <c r="L447" s="1">
        <v>50</v>
      </c>
      <c r="M447" t="s">
        <v>2065</v>
      </c>
      <c r="N447" t="s">
        <v>2071</v>
      </c>
      <c r="O447">
        <v>2.6</v>
      </c>
      <c r="P447">
        <v>1</v>
      </c>
      <c r="Q447" t="s">
        <v>2076</v>
      </c>
      <c r="R447">
        <v>0.61</v>
      </c>
      <c r="S447" s="2">
        <v>0.61</v>
      </c>
      <c r="T447" s="2" t="str">
        <f t="shared" si="20"/>
        <v>61% to 70 %</v>
      </c>
    </row>
    <row r="448" spans="1:21" x14ac:dyDescent="0.3">
      <c r="A448" t="s">
        <v>959</v>
      </c>
      <c r="B448" t="s">
        <v>960</v>
      </c>
      <c r="C448" t="s">
        <v>76</v>
      </c>
      <c r="D448" t="s">
        <v>80</v>
      </c>
      <c r="E448">
        <v>23</v>
      </c>
      <c r="F448" t="str">
        <f t="shared" si="18"/>
        <v>21 to 30</v>
      </c>
      <c r="G448" t="s">
        <v>46</v>
      </c>
      <c r="H448" t="s">
        <v>17</v>
      </c>
      <c r="I448" t="s">
        <v>63</v>
      </c>
      <c r="J448">
        <v>0</v>
      </c>
      <c r="K448" t="str">
        <f t="shared" si="19"/>
        <v>0 to 10</v>
      </c>
      <c r="L448" s="1">
        <v>75</v>
      </c>
      <c r="M448" t="s">
        <v>2066</v>
      </c>
      <c r="O448">
        <v>0</v>
      </c>
      <c r="P448" t="s">
        <v>67</v>
      </c>
      <c r="Q448" t="s">
        <v>2077</v>
      </c>
      <c r="R448">
        <v>0.92</v>
      </c>
      <c r="S448" s="2">
        <v>0.92</v>
      </c>
      <c r="T448" s="2" t="str">
        <f t="shared" si="20"/>
        <v>91% to 100%</v>
      </c>
    </row>
    <row r="449" spans="1:21" x14ac:dyDescent="0.3">
      <c r="A449" t="s">
        <v>961</v>
      </c>
      <c r="B449" t="s">
        <v>962</v>
      </c>
      <c r="C449" t="s">
        <v>111</v>
      </c>
      <c r="D449" t="s">
        <v>80</v>
      </c>
      <c r="E449">
        <v>36</v>
      </c>
      <c r="F449" t="str">
        <f t="shared" si="18"/>
        <v>31 to 40</v>
      </c>
      <c r="G449" t="s">
        <v>46</v>
      </c>
      <c r="H449" t="s">
        <v>17</v>
      </c>
      <c r="I449" t="s">
        <v>52</v>
      </c>
      <c r="J449">
        <v>16</v>
      </c>
      <c r="K449" t="str">
        <f t="shared" si="19"/>
        <v>11 to 20</v>
      </c>
      <c r="L449" s="1">
        <v>20</v>
      </c>
      <c r="M449" t="s">
        <v>2068</v>
      </c>
      <c r="N449" t="s">
        <v>2072</v>
      </c>
      <c r="O449">
        <v>3.2</v>
      </c>
      <c r="T449" s="2" t="str">
        <f t="shared" si="20"/>
        <v/>
      </c>
    </row>
    <row r="450" spans="1:21" x14ac:dyDescent="0.3">
      <c r="A450" t="s">
        <v>963</v>
      </c>
      <c r="B450" t="s">
        <v>964</v>
      </c>
      <c r="C450" t="s">
        <v>76</v>
      </c>
      <c r="D450" t="s">
        <v>80</v>
      </c>
      <c r="E450">
        <v>47</v>
      </c>
      <c r="F450" t="str">
        <f t="shared" ref="F450:F513" si="21">IF(OR($E450="",NOT(ISNUMBER($E450))),"",
 IF($E450&lt;=20,"11 to 20",
 IF($E450&lt;=30,"21 to 30",
 IF($E450&lt;=40,"31 to 40",
 IF($E450&lt;=50,"41 to 50",
 IF($E450&lt;=60,"51 to 60"))))))</f>
        <v>41 to 50</v>
      </c>
      <c r="G450" t="s">
        <v>158</v>
      </c>
      <c r="H450" t="s">
        <v>159</v>
      </c>
      <c r="I450" t="s">
        <v>52</v>
      </c>
      <c r="J450">
        <v>5</v>
      </c>
      <c r="K450" t="str">
        <f t="shared" ref="K450:K513" si="22">IF(OR($J450="",NOT(ISNUMBER($J450))),"",
 IF($J450&lt;=10,"0 to 10",
 IF($J450&lt;=20,"11 to 20",
 IF($J450&lt;=30,"21 to 30",
 IF($J450&lt;=40,"31 to 40",
 "40+")))))</f>
        <v>0 to 10</v>
      </c>
      <c r="L450" s="1">
        <v>20</v>
      </c>
      <c r="M450" t="s">
        <v>2072</v>
      </c>
      <c r="O450">
        <v>1.9</v>
      </c>
      <c r="P450">
        <v>0</v>
      </c>
      <c r="Q450" t="s">
        <v>2077</v>
      </c>
      <c r="T450" s="2" t="str">
        <f t="shared" ref="T450:T513" si="23">IF(OR($S450="",NOT(ISNUMBER($S450))),"",
 IF($S450&lt;=0.6,"50% to 60%",
 IF($S450&lt;=0.7,"61% to 70 %",
 IF($S450&lt;=0.8,"71% to 80%",
 IF($S450&lt;=0.9,"81% to 90%",
 IF($S450&lt;=1,"91% to 100%"))))))</f>
        <v/>
      </c>
    </row>
    <row r="451" spans="1:21" x14ac:dyDescent="0.3">
      <c r="A451" t="s">
        <v>965</v>
      </c>
      <c r="B451" t="s">
        <v>966</v>
      </c>
      <c r="C451" t="s">
        <v>76</v>
      </c>
      <c r="D451" t="s">
        <v>80</v>
      </c>
      <c r="E451">
        <v>54</v>
      </c>
      <c r="F451" t="str">
        <f t="shared" si="21"/>
        <v>51 to 60</v>
      </c>
      <c r="G451" t="s">
        <v>139</v>
      </c>
      <c r="H451" t="s">
        <v>59</v>
      </c>
      <c r="I451" t="s">
        <v>39</v>
      </c>
      <c r="J451">
        <v>32</v>
      </c>
      <c r="K451" t="str">
        <f t="shared" si="22"/>
        <v>31 to 40</v>
      </c>
      <c r="L451" s="1">
        <v>75</v>
      </c>
      <c r="M451" t="s">
        <v>2066</v>
      </c>
      <c r="O451">
        <v>1</v>
      </c>
      <c r="P451" t="s">
        <v>19</v>
      </c>
      <c r="Q451" t="s">
        <v>2076</v>
      </c>
      <c r="R451">
        <v>0.81</v>
      </c>
      <c r="S451" s="2">
        <v>0.81</v>
      </c>
      <c r="T451" s="2" t="str">
        <f t="shared" si="23"/>
        <v>81% to 90%</v>
      </c>
    </row>
    <row r="452" spans="1:21" x14ac:dyDescent="0.3">
      <c r="A452" t="s">
        <v>967</v>
      </c>
      <c r="B452" t="s">
        <v>968</v>
      </c>
      <c r="C452" t="s">
        <v>76</v>
      </c>
      <c r="D452" t="s">
        <v>80</v>
      </c>
      <c r="E452">
        <v>32</v>
      </c>
      <c r="F452" t="str">
        <f t="shared" si="21"/>
        <v>31 to 40</v>
      </c>
      <c r="G452" t="s">
        <v>155</v>
      </c>
      <c r="H452" t="s">
        <v>17</v>
      </c>
      <c r="I452" t="s">
        <v>108</v>
      </c>
      <c r="J452">
        <v>5</v>
      </c>
      <c r="K452" t="str">
        <f t="shared" si="22"/>
        <v>0 to 10</v>
      </c>
      <c r="L452" s="1">
        <v>30</v>
      </c>
      <c r="M452" t="s">
        <v>2065</v>
      </c>
      <c r="N452" t="s">
        <v>2069</v>
      </c>
      <c r="P452">
        <v>0</v>
      </c>
      <c r="Q452" t="s">
        <v>2077</v>
      </c>
      <c r="R452">
        <v>0.86</v>
      </c>
      <c r="S452" s="2">
        <v>0.86</v>
      </c>
      <c r="T452" s="2" t="str">
        <f t="shared" si="23"/>
        <v>81% to 90%</v>
      </c>
    </row>
    <row r="453" spans="1:21" x14ac:dyDescent="0.3">
      <c r="A453" t="s">
        <v>969</v>
      </c>
      <c r="B453" t="s">
        <v>970</v>
      </c>
      <c r="C453" t="s">
        <v>111</v>
      </c>
      <c r="D453" t="s">
        <v>80</v>
      </c>
      <c r="E453">
        <v>47</v>
      </c>
      <c r="F453" t="str">
        <f t="shared" si="21"/>
        <v>41 to 50</v>
      </c>
      <c r="G453" t="s">
        <v>254</v>
      </c>
      <c r="H453" t="s">
        <v>255</v>
      </c>
      <c r="I453" t="s">
        <v>60</v>
      </c>
      <c r="J453">
        <v>12</v>
      </c>
      <c r="K453" t="str">
        <f t="shared" si="22"/>
        <v>11 to 20</v>
      </c>
      <c r="L453" s="1">
        <v>50</v>
      </c>
      <c r="M453" t="s">
        <v>2071</v>
      </c>
      <c r="O453">
        <v>2.1</v>
      </c>
      <c r="P453" t="b">
        <v>1</v>
      </c>
      <c r="Q453" t="s">
        <v>2076</v>
      </c>
      <c r="R453">
        <v>0.67</v>
      </c>
      <c r="S453" s="2">
        <v>0.67</v>
      </c>
      <c r="T453" s="2" t="str">
        <f t="shared" si="23"/>
        <v>61% to 70 %</v>
      </c>
    </row>
    <row r="454" spans="1:21" x14ac:dyDescent="0.3">
      <c r="A454" t="s">
        <v>971</v>
      </c>
      <c r="B454" t="s">
        <v>972</v>
      </c>
      <c r="C454" t="s">
        <v>76</v>
      </c>
      <c r="D454" t="s">
        <v>80</v>
      </c>
      <c r="E454">
        <v>25</v>
      </c>
      <c r="F454" t="str">
        <f t="shared" si="21"/>
        <v>21 to 30</v>
      </c>
      <c r="G454" t="s">
        <v>42</v>
      </c>
      <c r="H454" t="s">
        <v>43</v>
      </c>
      <c r="I454" t="s">
        <v>108</v>
      </c>
      <c r="J454">
        <v>6</v>
      </c>
      <c r="K454" t="str">
        <f t="shared" si="22"/>
        <v>0 to 10</v>
      </c>
      <c r="L454" s="1">
        <v>20</v>
      </c>
      <c r="M454" t="s">
        <v>2072</v>
      </c>
      <c r="O454">
        <v>2.1</v>
      </c>
      <c r="P454" t="s">
        <v>67</v>
      </c>
      <c r="Q454" t="s">
        <v>2077</v>
      </c>
      <c r="T454" s="2" t="str">
        <f t="shared" si="23"/>
        <v/>
      </c>
    </row>
    <row r="455" spans="1:21" x14ac:dyDescent="0.3">
      <c r="A455" t="s">
        <v>973</v>
      </c>
      <c r="B455" t="s">
        <v>974</v>
      </c>
      <c r="C455" t="s">
        <v>36</v>
      </c>
      <c r="D455" t="s">
        <v>20</v>
      </c>
      <c r="E455">
        <v>42</v>
      </c>
      <c r="F455" t="str">
        <f t="shared" si="21"/>
        <v>41 to 50</v>
      </c>
      <c r="G455" t="s">
        <v>254</v>
      </c>
      <c r="H455" t="s">
        <v>255</v>
      </c>
      <c r="I455" t="s">
        <v>66</v>
      </c>
      <c r="J455">
        <v>10</v>
      </c>
      <c r="K455" t="str">
        <f t="shared" si="22"/>
        <v>0 to 10</v>
      </c>
      <c r="L455" s="1">
        <v>100</v>
      </c>
      <c r="M455" t="s">
        <v>2068</v>
      </c>
      <c r="N455" t="s">
        <v>2070</v>
      </c>
      <c r="O455">
        <v>4.5999999999999996</v>
      </c>
      <c r="P455" t="s">
        <v>96</v>
      </c>
      <c r="Q455" t="s">
        <v>2076</v>
      </c>
      <c r="R455">
        <v>0.71</v>
      </c>
      <c r="S455" s="2">
        <v>0.71</v>
      </c>
      <c r="T455" s="2" t="str">
        <f t="shared" si="23"/>
        <v>71% to 80%</v>
      </c>
    </row>
    <row r="456" spans="1:21" x14ac:dyDescent="0.3">
      <c r="A456" t="s">
        <v>975</v>
      </c>
      <c r="B456" t="s">
        <v>976</v>
      </c>
      <c r="C456" t="s">
        <v>15</v>
      </c>
      <c r="D456" t="s">
        <v>20</v>
      </c>
      <c r="E456">
        <v>53</v>
      </c>
      <c r="F456" t="str">
        <f t="shared" si="21"/>
        <v>51 to 60</v>
      </c>
      <c r="G456" t="s">
        <v>83</v>
      </c>
      <c r="H456" t="s">
        <v>84</v>
      </c>
      <c r="I456" t="s">
        <v>52</v>
      </c>
      <c r="J456">
        <v>35</v>
      </c>
      <c r="K456" t="str">
        <f t="shared" si="22"/>
        <v>31 to 40</v>
      </c>
      <c r="O456">
        <v>5</v>
      </c>
      <c r="P456">
        <v>1</v>
      </c>
      <c r="Q456" t="s">
        <v>2076</v>
      </c>
      <c r="R456">
        <v>0.62</v>
      </c>
      <c r="S456" s="2">
        <v>0.62</v>
      </c>
      <c r="T456" s="2" t="str">
        <f t="shared" si="23"/>
        <v>61% to 70 %</v>
      </c>
    </row>
    <row r="457" spans="1:21" x14ac:dyDescent="0.3">
      <c r="A457" t="s">
        <v>977</v>
      </c>
      <c r="B457" t="s">
        <v>978</v>
      </c>
      <c r="C457" t="s">
        <v>111</v>
      </c>
      <c r="D457" t="s">
        <v>80</v>
      </c>
      <c r="E457">
        <v>25</v>
      </c>
      <c r="F457" t="str">
        <f t="shared" si="21"/>
        <v>21 to 30</v>
      </c>
      <c r="G457" t="s">
        <v>16</v>
      </c>
      <c r="H457" t="s">
        <v>17</v>
      </c>
      <c r="I457" t="s">
        <v>108</v>
      </c>
      <c r="J457">
        <v>2</v>
      </c>
      <c r="K457" t="str">
        <f t="shared" si="22"/>
        <v>0 to 10</v>
      </c>
      <c r="L457" s="1">
        <v>100</v>
      </c>
      <c r="M457" t="s">
        <v>2070</v>
      </c>
      <c r="O457">
        <v>2.5</v>
      </c>
      <c r="P457" t="s">
        <v>67</v>
      </c>
      <c r="Q457" t="s">
        <v>2077</v>
      </c>
      <c r="R457">
        <v>87</v>
      </c>
      <c r="S457" s="2">
        <v>0.87</v>
      </c>
      <c r="T457" s="2" t="str">
        <f t="shared" si="23"/>
        <v>81% to 90%</v>
      </c>
      <c r="U457">
        <v>0.87</v>
      </c>
    </row>
    <row r="458" spans="1:21" x14ac:dyDescent="0.3">
      <c r="A458" t="s">
        <v>979</v>
      </c>
      <c r="B458" t="s">
        <v>980</v>
      </c>
      <c r="C458" t="s">
        <v>15</v>
      </c>
      <c r="D458" t="s">
        <v>20</v>
      </c>
      <c r="E458">
        <v>46</v>
      </c>
      <c r="F458" t="str">
        <f t="shared" si="21"/>
        <v>41 to 50</v>
      </c>
      <c r="G458" t="s">
        <v>50</v>
      </c>
      <c r="H458" t="s">
        <v>51</v>
      </c>
      <c r="I458" t="s">
        <v>52</v>
      </c>
      <c r="J458">
        <v>8</v>
      </c>
      <c r="K458" t="str">
        <f t="shared" si="22"/>
        <v>0 to 10</v>
      </c>
      <c r="L458" s="1">
        <v>20</v>
      </c>
      <c r="M458" t="s">
        <v>2072</v>
      </c>
      <c r="O458">
        <v>2.2000000000000002</v>
      </c>
      <c r="R458">
        <v>89</v>
      </c>
      <c r="S458" s="2">
        <v>0.89</v>
      </c>
      <c r="T458" s="2" t="str">
        <f t="shared" si="23"/>
        <v>81% to 90%</v>
      </c>
      <c r="U458">
        <v>0.89</v>
      </c>
    </row>
    <row r="459" spans="1:21" x14ac:dyDescent="0.3">
      <c r="A459" t="s">
        <v>981</v>
      </c>
      <c r="B459" t="s">
        <v>982</v>
      </c>
      <c r="C459" t="s">
        <v>36</v>
      </c>
      <c r="D459" t="s">
        <v>20</v>
      </c>
      <c r="F459" t="str">
        <f t="shared" si="21"/>
        <v/>
      </c>
      <c r="G459" t="s">
        <v>16</v>
      </c>
      <c r="H459" t="s">
        <v>17</v>
      </c>
      <c r="I459" t="s">
        <v>63</v>
      </c>
      <c r="J459">
        <v>1</v>
      </c>
      <c r="K459" t="str">
        <f t="shared" si="22"/>
        <v>0 to 10</v>
      </c>
      <c r="L459" s="1">
        <v>30</v>
      </c>
      <c r="M459" t="s">
        <v>2069</v>
      </c>
      <c r="O459">
        <v>0</v>
      </c>
      <c r="P459">
        <v>0</v>
      </c>
      <c r="Q459" t="s">
        <v>2077</v>
      </c>
      <c r="R459">
        <v>0.68</v>
      </c>
      <c r="S459" s="2">
        <v>0.68</v>
      </c>
      <c r="T459" s="2" t="str">
        <f t="shared" si="23"/>
        <v>61% to 70 %</v>
      </c>
    </row>
    <row r="460" spans="1:21" x14ac:dyDescent="0.3">
      <c r="A460" t="s">
        <v>983</v>
      </c>
      <c r="B460" t="s">
        <v>984</v>
      </c>
      <c r="C460" t="s">
        <v>111</v>
      </c>
      <c r="D460" t="s">
        <v>80</v>
      </c>
      <c r="E460">
        <v>48</v>
      </c>
      <c r="F460" t="str">
        <f t="shared" si="21"/>
        <v>41 to 50</v>
      </c>
      <c r="G460" t="s">
        <v>188</v>
      </c>
      <c r="H460" t="s">
        <v>189</v>
      </c>
      <c r="I460" t="s">
        <v>33</v>
      </c>
      <c r="J460">
        <v>21</v>
      </c>
      <c r="K460" t="str">
        <f t="shared" si="22"/>
        <v>21 to 30</v>
      </c>
      <c r="L460" s="1">
        <v>40</v>
      </c>
      <c r="M460" t="s">
        <v>2067</v>
      </c>
      <c r="O460">
        <v>2.2999999999999998</v>
      </c>
      <c r="P460">
        <v>0</v>
      </c>
      <c r="Q460" t="s">
        <v>2077</v>
      </c>
      <c r="T460" s="2" t="str">
        <f t="shared" si="23"/>
        <v/>
      </c>
    </row>
    <row r="461" spans="1:21" x14ac:dyDescent="0.3">
      <c r="A461" t="s">
        <v>985</v>
      </c>
      <c r="B461" t="s">
        <v>986</v>
      </c>
      <c r="C461" t="s">
        <v>15</v>
      </c>
      <c r="D461" t="s">
        <v>20</v>
      </c>
      <c r="E461">
        <v>33</v>
      </c>
      <c r="F461" t="str">
        <f t="shared" si="21"/>
        <v>31 to 40</v>
      </c>
      <c r="G461" t="s">
        <v>50</v>
      </c>
      <c r="H461" t="s">
        <v>51</v>
      </c>
      <c r="I461" t="s">
        <v>39</v>
      </c>
      <c r="J461">
        <v>2</v>
      </c>
      <c r="K461" t="str">
        <f t="shared" si="22"/>
        <v>0 to 10</v>
      </c>
      <c r="L461" s="1">
        <v>75</v>
      </c>
      <c r="M461" t="s">
        <v>2066</v>
      </c>
      <c r="O461">
        <v>2.5</v>
      </c>
      <c r="P461" t="b">
        <v>0</v>
      </c>
      <c r="Q461" t="s">
        <v>2077</v>
      </c>
      <c r="R461">
        <v>0.65</v>
      </c>
      <c r="S461" s="2">
        <v>0.65</v>
      </c>
      <c r="T461" s="2" t="str">
        <f t="shared" si="23"/>
        <v>61% to 70 %</v>
      </c>
    </row>
    <row r="462" spans="1:21" x14ac:dyDescent="0.3">
      <c r="A462" t="s">
        <v>987</v>
      </c>
      <c r="B462" t="s">
        <v>988</v>
      </c>
      <c r="C462" t="s">
        <v>36</v>
      </c>
      <c r="D462" t="s">
        <v>20</v>
      </c>
      <c r="E462">
        <v>46</v>
      </c>
      <c r="F462" t="str">
        <f t="shared" si="21"/>
        <v>41 to 50</v>
      </c>
      <c r="G462" t="s">
        <v>118</v>
      </c>
      <c r="H462" t="s">
        <v>119</v>
      </c>
      <c r="I462" t="s">
        <v>47</v>
      </c>
      <c r="J462">
        <v>20</v>
      </c>
      <c r="K462" t="str">
        <f t="shared" si="22"/>
        <v>11 to 20</v>
      </c>
      <c r="O462">
        <v>4.8</v>
      </c>
      <c r="P462">
        <v>1</v>
      </c>
      <c r="Q462" t="s">
        <v>2076</v>
      </c>
      <c r="R462">
        <v>0.82</v>
      </c>
      <c r="S462" s="2">
        <v>0.82</v>
      </c>
      <c r="T462" s="2" t="str">
        <f t="shared" si="23"/>
        <v>81% to 90%</v>
      </c>
    </row>
    <row r="463" spans="1:21" x14ac:dyDescent="0.3">
      <c r="A463" t="s">
        <v>989</v>
      </c>
      <c r="B463" t="s">
        <v>990</v>
      </c>
      <c r="C463" t="s">
        <v>36</v>
      </c>
      <c r="D463" t="s">
        <v>20</v>
      </c>
      <c r="E463">
        <v>27</v>
      </c>
      <c r="F463" t="str">
        <f t="shared" si="21"/>
        <v>21 to 30</v>
      </c>
      <c r="G463" t="s">
        <v>58</v>
      </c>
      <c r="H463" t="s">
        <v>59</v>
      </c>
      <c r="I463" t="s">
        <v>108</v>
      </c>
      <c r="J463">
        <v>3</v>
      </c>
      <c r="K463" t="str">
        <f t="shared" si="22"/>
        <v>0 to 10</v>
      </c>
      <c r="L463" s="1">
        <v>50</v>
      </c>
      <c r="M463" t="s">
        <v>2068</v>
      </c>
      <c r="N463" t="s">
        <v>2071</v>
      </c>
      <c r="P463" t="b">
        <v>0</v>
      </c>
      <c r="Q463" t="s">
        <v>2077</v>
      </c>
      <c r="T463" s="2" t="str">
        <f t="shared" si="23"/>
        <v/>
      </c>
    </row>
    <row r="464" spans="1:21" x14ac:dyDescent="0.3">
      <c r="A464" t="s">
        <v>991</v>
      </c>
      <c r="B464" t="s">
        <v>992</v>
      </c>
      <c r="C464" t="s">
        <v>15</v>
      </c>
      <c r="D464" t="s">
        <v>20</v>
      </c>
      <c r="E464">
        <v>42</v>
      </c>
      <c r="F464" t="str">
        <f t="shared" si="21"/>
        <v>41 to 50</v>
      </c>
      <c r="G464" t="s">
        <v>139</v>
      </c>
      <c r="H464" t="s">
        <v>59</v>
      </c>
      <c r="I464" t="s">
        <v>63</v>
      </c>
      <c r="J464">
        <v>14</v>
      </c>
      <c r="K464" t="str">
        <f t="shared" si="22"/>
        <v>11 to 20</v>
      </c>
      <c r="L464" s="1">
        <v>30</v>
      </c>
      <c r="M464" t="s">
        <v>2065</v>
      </c>
      <c r="N464" t="s">
        <v>2069</v>
      </c>
      <c r="O464">
        <v>1.3</v>
      </c>
      <c r="P464">
        <v>0</v>
      </c>
      <c r="Q464" t="s">
        <v>2077</v>
      </c>
      <c r="R464">
        <v>0.94</v>
      </c>
      <c r="S464" s="2">
        <v>0.94</v>
      </c>
      <c r="T464" s="2" t="str">
        <f t="shared" si="23"/>
        <v>91% to 100%</v>
      </c>
    </row>
    <row r="465" spans="1:21" x14ac:dyDescent="0.3">
      <c r="A465" t="s">
        <v>993</v>
      </c>
      <c r="B465" t="s">
        <v>994</v>
      </c>
      <c r="C465" t="s">
        <v>36</v>
      </c>
      <c r="D465" t="s">
        <v>20</v>
      </c>
      <c r="E465">
        <v>60</v>
      </c>
      <c r="F465" t="str">
        <f t="shared" si="21"/>
        <v>51 to 60</v>
      </c>
      <c r="G465" t="s">
        <v>77</v>
      </c>
      <c r="H465" t="s">
        <v>78</v>
      </c>
      <c r="I465" t="s">
        <v>33</v>
      </c>
      <c r="J465">
        <v>24</v>
      </c>
      <c r="K465" t="str">
        <f t="shared" si="22"/>
        <v>21 to 30</v>
      </c>
      <c r="L465" s="1">
        <v>40</v>
      </c>
      <c r="M465" t="s">
        <v>2068</v>
      </c>
      <c r="N465" t="s">
        <v>2067</v>
      </c>
      <c r="O465">
        <v>3.1</v>
      </c>
      <c r="P465">
        <v>0</v>
      </c>
      <c r="Q465" t="s">
        <v>2077</v>
      </c>
      <c r="R465">
        <v>0.69</v>
      </c>
      <c r="S465" s="2">
        <v>0.69</v>
      </c>
      <c r="T465" s="2" t="str">
        <f t="shared" si="23"/>
        <v>61% to 70 %</v>
      </c>
    </row>
    <row r="466" spans="1:21" x14ac:dyDescent="0.3">
      <c r="A466" t="s">
        <v>995</v>
      </c>
      <c r="B466" t="s">
        <v>996</v>
      </c>
      <c r="C466" t="s">
        <v>15</v>
      </c>
      <c r="D466" t="s">
        <v>20</v>
      </c>
      <c r="E466">
        <v>22</v>
      </c>
      <c r="F466" t="str">
        <f t="shared" si="21"/>
        <v>21 to 30</v>
      </c>
      <c r="G466" t="s">
        <v>104</v>
      </c>
      <c r="H466" t="s">
        <v>105</v>
      </c>
      <c r="I466" t="s">
        <v>60</v>
      </c>
      <c r="J466">
        <v>1</v>
      </c>
      <c r="K466" t="str">
        <f t="shared" si="22"/>
        <v>0 to 10</v>
      </c>
      <c r="L466" s="1">
        <v>40</v>
      </c>
      <c r="M466" t="s">
        <v>2067</v>
      </c>
      <c r="O466">
        <v>0</v>
      </c>
      <c r="P466">
        <v>0</v>
      </c>
      <c r="Q466" t="s">
        <v>2077</v>
      </c>
      <c r="R466">
        <v>0.63</v>
      </c>
      <c r="S466" s="2">
        <v>0.63</v>
      </c>
      <c r="T466" s="2" t="str">
        <f t="shared" si="23"/>
        <v>61% to 70 %</v>
      </c>
    </row>
    <row r="467" spans="1:21" x14ac:dyDescent="0.3">
      <c r="A467" t="s">
        <v>997</v>
      </c>
      <c r="B467" t="s">
        <v>998</v>
      </c>
      <c r="C467" t="s">
        <v>15</v>
      </c>
      <c r="D467" t="s">
        <v>20</v>
      </c>
      <c r="E467">
        <v>22</v>
      </c>
      <c r="F467" t="str">
        <f t="shared" si="21"/>
        <v>21 to 30</v>
      </c>
      <c r="G467" t="s">
        <v>155</v>
      </c>
      <c r="H467" t="s">
        <v>17</v>
      </c>
      <c r="I467" t="s">
        <v>47</v>
      </c>
      <c r="J467">
        <v>1</v>
      </c>
      <c r="K467" t="str">
        <f t="shared" si="22"/>
        <v>0 to 10</v>
      </c>
      <c r="L467" s="1">
        <v>20</v>
      </c>
      <c r="M467" t="s">
        <v>2068</v>
      </c>
      <c r="N467" t="s">
        <v>2072</v>
      </c>
      <c r="P467" t="s">
        <v>19</v>
      </c>
      <c r="Q467" t="s">
        <v>2076</v>
      </c>
      <c r="R467">
        <v>0.75</v>
      </c>
      <c r="S467" s="2">
        <v>0.75</v>
      </c>
      <c r="T467" s="2" t="str">
        <f t="shared" si="23"/>
        <v>71% to 80%</v>
      </c>
    </row>
    <row r="468" spans="1:21" x14ac:dyDescent="0.3">
      <c r="A468" t="s">
        <v>999</v>
      </c>
      <c r="B468" t="s">
        <v>1000</v>
      </c>
      <c r="C468" t="s">
        <v>15</v>
      </c>
      <c r="D468" t="s">
        <v>20</v>
      </c>
      <c r="E468">
        <v>59</v>
      </c>
      <c r="F468" t="str">
        <f t="shared" si="21"/>
        <v>51 to 60</v>
      </c>
      <c r="G468" t="s">
        <v>58</v>
      </c>
      <c r="H468" t="s">
        <v>59</v>
      </c>
      <c r="I468" t="s">
        <v>66</v>
      </c>
      <c r="J468">
        <v>15</v>
      </c>
      <c r="K468" t="str">
        <f t="shared" si="22"/>
        <v>11 to 20</v>
      </c>
      <c r="L468" s="1">
        <v>50</v>
      </c>
      <c r="M468" t="s">
        <v>2065</v>
      </c>
      <c r="N468" t="s">
        <v>2071</v>
      </c>
      <c r="P468" t="s">
        <v>67</v>
      </c>
      <c r="Q468" t="s">
        <v>2077</v>
      </c>
      <c r="T468" s="2" t="str">
        <f t="shared" si="23"/>
        <v/>
      </c>
    </row>
    <row r="469" spans="1:21" x14ac:dyDescent="0.3">
      <c r="A469" t="s">
        <v>1001</v>
      </c>
      <c r="B469" t="s">
        <v>1002</v>
      </c>
      <c r="C469" t="s">
        <v>15</v>
      </c>
      <c r="D469" t="s">
        <v>20</v>
      </c>
      <c r="E469">
        <v>42</v>
      </c>
      <c r="F469" t="str">
        <f t="shared" si="21"/>
        <v>41 to 50</v>
      </c>
      <c r="G469" t="s">
        <v>50</v>
      </c>
      <c r="H469" t="s">
        <v>51</v>
      </c>
      <c r="I469" t="s">
        <v>39</v>
      </c>
      <c r="J469">
        <v>7</v>
      </c>
      <c r="K469" t="str">
        <f t="shared" si="22"/>
        <v>0 to 10</v>
      </c>
      <c r="L469" s="1">
        <v>20</v>
      </c>
      <c r="M469" t="s">
        <v>2068</v>
      </c>
      <c r="N469" t="s">
        <v>2072</v>
      </c>
      <c r="P469" t="b">
        <v>0</v>
      </c>
      <c r="Q469" t="s">
        <v>2077</v>
      </c>
      <c r="R469">
        <v>1</v>
      </c>
      <c r="S469" s="2">
        <v>1</v>
      </c>
      <c r="T469" s="2" t="str">
        <f t="shared" si="23"/>
        <v>91% to 100%</v>
      </c>
    </row>
    <row r="470" spans="1:21" x14ac:dyDescent="0.3">
      <c r="A470" t="s">
        <v>1003</v>
      </c>
      <c r="B470" t="s">
        <v>1004</v>
      </c>
      <c r="C470" t="s">
        <v>15</v>
      </c>
      <c r="D470" t="s">
        <v>20</v>
      </c>
      <c r="E470">
        <v>54</v>
      </c>
      <c r="F470" t="str">
        <f t="shared" si="21"/>
        <v>51 to 60</v>
      </c>
      <c r="G470" t="s">
        <v>58</v>
      </c>
      <c r="H470" t="s">
        <v>59</v>
      </c>
      <c r="I470" t="s">
        <v>63</v>
      </c>
      <c r="J470">
        <v>20</v>
      </c>
      <c r="K470" t="str">
        <f t="shared" si="22"/>
        <v>11 to 20</v>
      </c>
      <c r="L470" s="1">
        <v>50</v>
      </c>
      <c r="M470" t="s">
        <v>2071</v>
      </c>
      <c r="O470">
        <v>4.4000000000000004</v>
      </c>
      <c r="P470">
        <v>0</v>
      </c>
      <c r="Q470" t="s">
        <v>2077</v>
      </c>
      <c r="R470">
        <v>73</v>
      </c>
      <c r="S470" s="2">
        <v>0.73</v>
      </c>
      <c r="T470" s="2" t="str">
        <f t="shared" si="23"/>
        <v>71% to 80%</v>
      </c>
      <c r="U470">
        <v>0.73</v>
      </c>
    </row>
    <row r="471" spans="1:21" x14ac:dyDescent="0.3">
      <c r="A471" t="s">
        <v>1005</v>
      </c>
      <c r="B471" t="s">
        <v>1006</v>
      </c>
      <c r="C471" t="s">
        <v>15</v>
      </c>
      <c r="D471" t="s">
        <v>20</v>
      </c>
      <c r="E471">
        <v>26</v>
      </c>
      <c r="F471" t="str">
        <f t="shared" si="21"/>
        <v>21 to 30</v>
      </c>
      <c r="G471" t="s">
        <v>155</v>
      </c>
      <c r="H471" t="s">
        <v>17</v>
      </c>
      <c r="I471" t="s">
        <v>39</v>
      </c>
      <c r="J471">
        <v>8</v>
      </c>
      <c r="K471" t="str">
        <f t="shared" si="22"/>
        <v>0 to 10</v>
      </c>
      <c r="L471" s="1">
        <v>40</v>
      </c>
      <c r="M471" t="s">
        <v>2067</v>
      </c>
      <c r="O471">
        <v>4.9000000000000004</v>
      </c>
      <c r="P471" t="s">
        <v>53</v>
      </c>
      <c r="Q471" t="s">
        <v>2077</v>
      </c>
      <c r="R471">
        <v>0.87</v>
      </c>
      <c r="S471" s="2">
        <v>0.87</v>
      </c>
      <c r="T471" s="2" t="str">
        <f t="shared" si="23"/>
        <v>81% to 90%</v>
      </c>
    </row>
    <row r="472" spans="1:21" x14ac:dyDescent="0.3">
      <c r="A472" t="s">
        <v>1007</v>
      </c>
      <c r="B472" t="s">
        <v>1008</v>
      </c>
      <c r="C472" t="s">
        <v>15</v>
      </c>
      <c r="D472" t="s">
        <v>20</v>
      </c>
      <c r="E472">
        <v>30</v>
      </c>
      <c r="F472" t="str">
        <f t="shared" si="21"/>
        <v>21 to 30</v>
      </c>
      <c r="G472" t="s">
        <v>31</v>
      </c>
      <c r="H472" t="s">
        <v>32</v>
      </c>
      <c r="I472" t="s">
        <v>66</v>
      </c>
      <c r="K472" t="str">
        <f t="shared" si="22"/>
        <v/>
      </c>
      <c r="L472" s="1">
        <v>100</v>
      </c>
      <c r="M472" t="s">
        <v>2065</v>
      </c>
      <c r="N472" t="s">
        <v>2070</v>
      </c>
      <c r="O472">
        <v>4.5</v>
      </c>
      <c r="R472">
        <v>0.78</v>
      </c>
      <c r="S472" s="2">
        <v>0.78</v>
      </c>
      <c r="T472" s="2" t="str">
        <f t="shared" si="23"/>
        <v>71% to 80%</v>
      </c>
    </row>
    <row r="473" spans="1:21" x14ac:dyDescent="0.3">
      <c r="A473" t="s">
        <v>1009</v>
      </c>
      <c r="B473" t="s">
        <v>1010</v>
      </c>
      <c r="C473" t="s">
        <v>15</v>
      </c>
      <c r="D473" t="s">
        <v>20</v>
      </c>
      <c r="E473">
        <v>22</v>
      </c>
      <c r="F473" t="str">
        <f t="shared" si="21"/>
        <v>21 to 30</v>
      </c>
      <c r="G473" t="s">
        <v>50</v>
      </c>
      <c r="H473" t="s">
        <v>51</v>
      </c>
      <c r="I473" t="s">
        <v>108</v>
      </c>
      <c r="J473">
        <v>3</v>
      </c>
      <c r="K473" t="str">
        <f t="shared" si="22"/>
        <v>0 to 10</v>
      </c>
      <c r="L473" s="1">
        <v>75</v>
      </c>
      <c r="M473" t="s">
        <v>2066</v>
      </c>
      <c r="O473">
        <v>3.4</v>
      </c>
      <c r="P473" t="s">
        <v>96</v>
      </c>
      <c r="Q473" t="s">
        <v>2076</v>
      </c>
      <c r="R473">
        <v>0.65</v>
      </c>
      <c r="S473" s="2">
        <v>0.65</v>
      </c>
      <c r="T473" s="2" t="str">
        <f t="shared" si="23"/>
        <v>61% to 70 %</v>
      </c>
    </row>
    <row r="474" spans="1:21" x14ac:dyDescent="0.3">
      <c r="A474" t="s">
        <v>1011</v>
      </c>
      <c r="B474" t="s">
        <v>1012</v>
      </c>
      <c r="C474" t="s">
        <v>36</v>
      </c>
      <c r="D474" t="s">
        <v>20</v>
      </c>
      <c r="E474">
        <v>46</v>
      </c>
      <c r="F474" t="str">
        <f t="shared" si="21"/>
        <v>41 to 50</v>
      </c>
      <c r="G474" t="s">
        <v>50</v>
      </c>
      <c r="H474" t="s">
        <v>51</v>
      </c>
      <c r="I474" t="s">
        <v>47</v>
      </c>
      <c r="J474">
        <v>22</v>
      </c>
      <c r="K474" t="str">
        <f t="shared" si="22"/>
        <v>21 to 30</v>
      </c>
      <c r="L474" s="1">
        <v>100</v>
      </c>
      <c r="M474" t="s">
        <v>2070</v>
      </c>
      <c r="O474">
        <v>2.8</v>
      </c>
      <c r="P474" t="s">
        <v>19</v>
      </c>
      <c r="Q474" t="s">
        <v>2076</v>
      </c>
      <c r="R474">
        <v>97</v>
      </c>
      <c r="S474" s="2">
        <v>0.97</v>
      </c>
      <c r="T474" s="2" t="str">
        <f t="shared" si="23"/>
        <v>91% to 100%</v>
      </c>
      <c r="U474">
        <v>0.97</v>
      </c>
    </row>
    <row r="475" spans="1:21" x14ac:dyDescent="0.3">
      <c r="A475" t="s">
        <v>1013</v>
      </c>
      <c r="B475" t="s">
        <v>1014</v>
      </c>
      <c r="C475" t="s">
        <v>36</v>
      </c>
      <c r="D475" t="s">
        <v>20</v>
      </c>
      <c r="E475">
        <v>57</v>
      </c>
      <c r="F475" t="str">
        <f t="shared" si="21"/>
        <v>51 to 60</v>
      </c>
      <c r="G475" t="s">
        <v>118</v>
      </c>
      <c r="H475" t="s">
        <v>119</v>
      </c>
      <c r="I475" t="s">
        <v>39</v>
      </c>
      <c r="J475">
        <v>5</v>
      </c>
      <c r="K475" t="str">
        <f t="shared" si="22"/>
        <v>0 to 10</v>
      </c>
      <c r="L475" s="1">
        <v>75</v>
      </c>
      <c r="M475" t="s">
        <v>2066</v>
      </c>
      <c r="O475">
        <v>1.1000000000000001</v>
      </c>
      <c r="P475" t="b">
        <v>1</v>
      </c>
      <c r="Q475" t="s">
        <v>2076</v>
      </c>
      <c r="R475">
        <v>0.77</v>
      </c>
      <c r="S475" s="2">
        <v>0.77</v>
      </c>
      <c r="T475" s="2" t="str">
        <f t="shared" si="23"/>
        <v>71% to 80%</v>
      </c>
    </row>
    <row r="476" spans="1:21" x14ac:dyDescent="0.3">
      <c r="A476" t="s">
        <v>1015</v>
      </c>
      <c r="B476" t="s">
        <v>1016</v>
      </c>
      <c r="C476" t="s">
        <v>15</v>
      </c>
      <c r="D476" t="s">
        <v>20</v>
      </c>
      <c r="E476">
        <v>51</v>
      </c>
      <c r="F476" t="str">
        <f t="shared" si="21"/>
        <v>51 to 60</v>
      </c>
      <c r="G476" t="s">
        <v>91</v>
      </c>
      <c r="H476" t="s">
        <v>59</v>
      </c>
      <c r="I476" t="s">
        <v>66</v>
      </c>
      <c r="J476">
        <v>4</v>
      </c>
      <c r="K476" t="str">
        <f t="shared" si="22"/>
        <v>0 to 10</v>
      </c>
      <c r="L476" s="1">
        <v>50</v>
      </c>
      <c r="M476" t="s">
        <v>2068</v>
      </c>
      <c r="N476" t="s">
        <v>2071</v>
      </c>
      <c r="O476">
        <v>2</v>
      </c>
      <c r="P476" t="s">
        <v>67</v>
      </c>
      <c r="Q476" t="s">
        <v>2077</v>
      </c>
      <c r="R476">
        <v>0.92</v>
      </c>
      <c r="S476" s="2">
        <v>0.92</v>
      </c>
      <c r="T476" s="2" t="str">
        <f t="shared" si="23"/>
        <v>91% to 100%</v>
      </c>
    </row>
    <row r="477" spans="1:21" x14ac:dyDescent="0.3">
      <c r="A477" t="s">
        <v>1017</v>
      </c>
      <c r="B477" t="s">
        <v>1018</v>
      </c>
      <c r="C477" t="s">
        <v>36</v>
      </c>
      <c r="D477" t="s">
        <v>20</v>
      </c>
      <c r="E477">
        <v>60</v>
      </c>
      <c r="F477" t="str">
        <f t="shared" si="21"/>
        <v>51 to 60</v>
      </c>
      <c r="G477" t="s">
        <v>42</v>
      </c>
      <c r="H477" t="s">
        <v>43</v>
      </c>
      <c r="I477" t="s">
        <v>52</v>
      </c>
      <c r="J477">
        <v>33</v>
      </c>
      <c r="K477" t="str">
        <f t="shared" si="22"/>
        <v>31 to 40</v>
      </c>
      <c r="L477" s="1">
        <v>40</v>
      </c>
      <c r="M477" t="s">
        <v>2067</v>
      </c>
      <c r="O477">
        <v>3.6</v>
      </c>
      <c r="P477">
        <v>1</v>
      </c>
      <c r="Q477" t="s">
        <v>2076</v>
      </c>
      <c r="R477">
        <v>0.87</v>
      </c>
      <c r="S477" s="2">
        <v>0.87</v>
      </c>
      <c r="T477" s="2" t="str">
        <f t="shared" si="23"/>
        <v>81% to 90%</v>
      </c>
    </row>
    <row r="478" spans="1:21" x14ac:dyDescent="0.3">
      <c r="A478" t="s">
        <v>1019</v>
      </c>
      <c r="B478" t="s">
        <v>1020</v>
      </c>
      <c r="C478" t="s">
        <v>36</v>
      </c>
      <c r="D478" t="s">
        <v>20</v>
      </c>
      <c r="E478">
        <v>25</v>
      </c>
      <c r="F478" t="str">
        <f t="shared" si="21"/>
        <v>21 to 30</v>
      </c>
      <c r="G478" t="s">
        <v>118</v>
      </c>
      <c r="H478" t="s">
        <v>119</v>
      </c>
      <c r="I478" t="s">
        <v>66</v>
      </c>
      <c r="J478">
        <v>7</v>
      </c>
      <c r="K478" t="str">
        <f t="shared" si="22"/>
        <v>0 to 10</v>
      </c>
      <c r="L478" s="1">
        <v>20</v>
      </c>
      <c r="M478" t="s">
        <v>2065</v>
      </c>
      <c r="N478" t="s">
        <v>2072</v>
      </c>
      <c r="O478">
        <v>3.8</v>
      </c>
      <c r="R478">
        <v>0.97</v>
      </c>
      <c r="S478" s="2">
        <v>0.97</v>
      </c>
      <c r="T478" s="2" t="str">
        <f t="shared" si="23"/>
        <v>91% to 100%</v>
      </c>
    </row>
    <row r="479" spans="1:21" x14ac:dyDescent="0.3">
      <c r="A479" t="s">
        <v>1021</v>
      </c>
      <c r="B479" t="s">
        <v>1022</v>
      </c>
      <c r="C479" t="s">
        <v>15</v>
      </c>
      <c r="D479" t="s">
        <v>20</v>
      </c>
      <c r="E479">
        <v>20</v>
      </c>
      <c r="F479" t="str">
        <f t="shared" si="21"/>
        <v>11 to 20</v>
      </c>
      <c r="G479" t="s">
        <v>23</v>
      </c>
      <c r="H479" t="s">
        <v>24</v>
      </c>
      <c r="I479" t="s">
        <v>60</v>
      </c>
      <c r="J479">
        <v>2</v>
      </c>
      <c r="K479" t="str">
        <f t="shared" si="22"/>
        <v>0 to 10</v>
      </c>
      <c r="L479" s="1">
        <v>30</v>
      </c>
      <c r="M479" t="s">
        <v>2069</v>
      </c>
      <c r="P479">
        <v>1</v>
      </c>
      <c r="Q479" t="s">
        <v>2076</v>
      </c>
      <c r="R479">
        <v>0.99</v>
      </c>
      <c r="S479" s="2">
        <v>0.99</v>
      </c>
      <c r="T479" s="2" t="str">
        <f t="shared" si="23"/>
        <v>91% to 100%</v>
      </c>
    </row>
    <row r="480" spans="1:21" x14ac:dyDescent="0.3">
      <c r="A480" t="s">
        <v>1023</v>
      </c>
      <c r="B480" t="s">
        <v>1024</v>
      </c>
      <c r="C480" t="s">
        <v>36</v>
      </c>
      <c r="D480" t="s">
        <v>20</v>
      </c>
      <c r="E480">
        <v>60</v>
      </c>
      <c r="F480" t="str">
        <f t="shared" si="21"/>
        <v>51 to 60</v>
      </c>
      <c r="G480" t="s">
        <v>158</v>
      </c>
      <c r="H480" t="s">
        <v>159</v>
      </c>
      <c r="I480" t="s">
        <v>66</v>
      </c>
      <c r="J480">
        <v>40</v>
      </c>
      <c r="K480" t="str">
        <f t="shared" si="22"/>
        <v>31 to 40</v>
      </c>
      <c r="L480" s="1">
        <v>50</v>
      </c>
      <c r="M480" t="s">
        <v>2071</v>
      </c>
      <c r="O480">
        <v>4.5999999999999996</v>
      </c>
      <c r="P480" t="b">
        <v>1</v>
      </c>
      <c r="Q480" t="s">
        <v>2076</v>
      </c>
      <c r="R480">
        <v>1</v>
      </c>
      <c r="S480" s="2">
        <v>1</v>
      </c>
      <c r="T480" s="2" t="str">
        <f t="shared" si="23"/>
        <v>91% to 100%</v>
      </c>
    </row>
    <row r="481" spans="1:21" x14ac:dyDescent="0.3">
      <c r="A481" t="s">
        <v>1025</v>
      </c>
      <c r="B481" t="s">
        <v>1026</v>
      </c>
      <c r="C481" t="s">
        <v>36</v>
      </c>
      <c r="D481" t="s">
        <v>20</v>
      </c>
      <c r="E481">
        <v>32</v>
      </c>
      <c r="F481" t="str">
        <f t="shared" si="21"/>
        <v>31 to 40</v>
      </c>
      <c r="G481" t="s">
        <v>83</v>
      </c>
      <c r="H481" t="s">
        <v>84</v>
      </c>
      <c r="I481" t="s">
        <v>79</v>
      </c>
      <c r="J481">
        <v>1</v>
      </c>
      <c r="K481" t="str">
        <f t="shared" si="22"/>
        <v>0 to 10</v>
      </c>
      <c r="L481" s="1">
        <v>40</v>
      </c>
      <c r="M481" t="s">
        <v>2065</v>
      </c>
      <c r="N481" t="s">
        <v>2067</v>
      </c>
      <c r="O481">
        <v>3.1</v>
      </c>
      <c r="P481">
        <v>1</v>
      </c>
      <c r="Q481" t="s">
        <v>2076</v>
      </c>
      <c r="R481">
        <v>0.76</v>
      </c>
      <c r="S481" s="2">
        <v>0.76</v>
      </c>
      <c r="T481" s="2" t="str">
        <f t="shared" si="23"/>
        <v>71% to 80%</v>
      </c>
    </row>
    <row r="482" spans="1:21" x14ac:dyDescent="0.3">
      <c r="A482" t="s">
        <v>1027</v>
      </c>
      <c r="B482" t="s">
        <v>1028</v>
      </c>
      <c r="C482" t="s">
        <v>15</v>
      </c>
      <c r="D482" t="s">
        <v>20</v>
      </c>
      <c r="E482">
        <v>38</v>
      </c>
      <c r="F482" t="str">
        <f t="shared" si="21"/>
        <v>31 to 40</v>
      </c>
      <c r="G482" t="s">
        <v>23</v>
      </c>
      <c r="H482" t="s">
        <v>24</v>
      </c>
      <c r="I482" t="s">
        <v>52</v>
      </c>
      <c r="J482">
        <v>1</v>
      </c>
      <c r="K482" t="str">
        <f t="shared" si="22"/>
        <v>0 to 10</v>
      </c>
      <c r="L482" s="1">
        <v>40</v>
      </c>
      <c r="M482" t="s">
        <v>2068</v>
      </c>
      <c r="N482" t="s">
        <v>2067</v>
      </c>
      <c r="O482">
        <v>0</v>
      </c>
      <c r="P482">
        <v>0</v>
      </c>
      <c r="Q482" t="s">
        <v>2077</v>
      </c>
      <c r="R482">
        <v>0.96</v>
      </c>
      <c r="S482" s="2">
        <v>0.96</v>
      </c>
      <c r="T482" s="2" t="str">
        <f t="shared" si="23"/>
        <v>91% to 100%</v>
      </c>
    </row>
    <row r="483" spans="1:21" x14ac:dyDescent="0.3">
      <c r="A483" t="s">
        <v>1029</v>
      </c>
      <c r="B483" t="s">
        <v>1030</v>
      </c>
      <c r="C483" t="s">
        <v>15</v>
      </c>
      <c r="D483" t="s">
        <v>20</v>
      </c>
      <c r="E483">
        <v>27</v>
      </c>
      <c r="F483" t="str">
        <f t="shared" si="21"/>
        <v>21 to 30</v>
      </c>
      <c r="G483" t="s">
        <v>101</v>
      </c>
      <c r="H483" t="s">
        <v>59</v>
      </c>
      <c r="I483" t="s">
        <v>47</v>
      </c>
      <c r="J483">
        <v>7</v>
      </c>
      <c r="K483" t="str">
        <f t="shared" si="22"/>
        <v>0 to 10</v>
      </c>
      <c r="L483" s="1">
        <v>20</v>
      </c>
      <c r="M483" t="s">
        <v>2068</v>
      </c>
      <c r="N483" t="s">
        <v>2072</v>
      </c>
      <c r="O483">
        <v>3.2</v>
      </c>
      <c r="P483">
        <v>1</v>
      </c>
      <c r="Q483" t="s">
        <v>2076</v>
      </c>
      <c r="R483">
        <v>0.62</v>
      </c>
      <c r="S483" s="2">
        <v>0.62</v>
      </c>
      <c r="T483" s="2" t="str">
        <f t="shared" si="23"/>
        <v>61% to 70 %</v>
      </c>
    </row>
    <row r="484" spans="1:21" x14ac:dyDescent="0.3">
      <c r="A484" t="s">
        <v>1031</v>
      </c>
      <c r="B484" t="s">
        <v>1032</v>
      </c>
      <c r="C484" t="s">
        <v>36</v>
      </c>
      <c r="D484" t="s">
        <v>20</v>
      </c>
      <c r="E484">
        <v>58</v>
      </c>
      <c r="F484" t="str">
        <f t="shared" si="21"/>
        <v>51 to 60</v>
      </c>
      <c r="G484" t="s">
        <v>158</v>
      </c>
      <c r="H484" t="s">
        <v>159</v>
      </c>
      <c r="I484" t="s">
        <v>47</v>
      </c>
      <c r="J484">
        <v>9</v>
      </c>
      <c r="K484" t="str">
        <f t="shared" si="22"/>
        <v>0 to 10</v>
      </c>
      <c r="L484" s="1">
        <v>20</v>
      </c>
      <c r="M484" t="s">
        <v>2072</v>
      </c>
      <c r="O484">
        <v>0</v>
      </c>
      <c r="P484" t="s">
        <v>53</v>
      </c>
      <c r="Q484" t="s">
        <v>2077</v>
      </c>
      <c r="R484">
        <v>0.65</v>
      </c>
      <c r="S484" s="2">
        <v>0.65</v>
      </c>
      <c r="T484" s="2" t="str">
        <f t="shared" si="23"/>
        <v>61% to 70 %</v>
      </c>
    </row>
    <row r="485" spans="1:21" x14ac:dyDescent="0.3">
      <c r="A485" t="s">
        <v>1033</v>
      </c>
      <c r="B485" t="s">
        <v>1034</v>
      </c>
      <c r="C485" t="s">
        <v>36</v>
      </c>
      <c r="D485" t="s">
        <v>20</v>
      </c>
      <c r="E485">
        <v>31</v>
      </c>
      <c r="F485" t="str">
        <f t="shared" si="21"/>
        <v>31 to 40</v>
      </c>
      <c r="G485" t="s">
        <v>27</v>
      </c>
      <c r="H485" t="s">
        <v>28</v>
      </c>
      <c r="I485" t="s">
        <v>60</v>
      </c>
      <c r="J485">
        <v>11</v>
      </c>
      <c r="K485" t="str">
        <f t="shared" si="22"/>
        <v>11 to 20</v>
      </c>
      <c r="L485" s="1">
        <v>50</v>
      </c>
      <c r="M485" t="s">
        <v>2071</v>
      </c>
      <c r="O485">
        <v>3.1</v>
      </c>
      <c r="P485" t="b">
        <v>0</v>
      </c>
      <c r="Q485" t="s">
        <v>2077</v>
      </c>
      <c r="R485">
        <v>0.88</v>
      </c>
      <c r="S485" s="2">
        <v>0.88</v>
      </c>
      <c r="T485" s="2" t="str">
        <f t="shared" si="23"/>
        <v>81% to 90%</v>
      </c>
    </row>
    <row r="486" spans="1:21" x14ac:dyDescent="0.3">
      <c r="A486" t="s">
        <v>1035</v>
      </c>
      <c r="B486" t="s">
        <v>1036</v>
      </c>
      <c r="C486" t="s">
        <v>36</v>
      </c>
      <c r="D486" t="s">
        <v>20</v>
      </c>
      <c r="E486">
        <v>24</v>
      </c>
      <c r="F486" t="str">
        <f t="shared" si="21"/>
        <v>21 to 30</v>
      </c>
      <c r="G486" t="s">
        <v>139</v>
      </c>
      <c r="H486" t="s">
        <v>59</v>
      </c>
      <c r="I486" t="s">
        <v>60</v>
      </c>
      <c r="J486">
        <v>4</v>
      </c>
      <c r="K486" t="str">
        <f t="shared" si="22"/>
        <v>0 to 10</v>
      </c>
      <c r="L486" s="1">
        <v>50</v>
      </c>
      <c r="M486" t="s">
        <v>2071</v>
      </c>
      <c r="O486">
        <v>3.1</v>
      </c>
      <c r="P486" t="b">
        <v>0</v>
      </c>
      <c r="Q486" t="s">
        <v>2077</v>
      </c>
      <c r="R486">
        <v>0.95</v>
      </c>
      <c r="S486" s="2">
        <v>0.95</v>
      </c>
      <c r="T486" s="2" t="str">
        <f t="shared" si="23"/>
        <v>91% to 100%</v>
      </c>
    </row>
    <row r="487" spans="1:21" x14ac:dyDescent="0.3">
      <c r="A487" t="s">
        <v>1037</v>
      </c>
      <c r="B487" t="s">
        <v>1038</v>
      </c>
      <c r="C487" t="s">
        <v>15</v>
      </c>
      <c r="D487" t="s">
        <v>20</v>
      </c>
      <c r="E487">
        <v>59</v>
      </c>
      <c r="F487" t="str">
        <f t="shared" si="21"/>
        <v>51 to 60</v>
      </c>
      <c r="G487" t="s">
        <v>101</v>
      </c>
      <c r="H487" t="s">
        <v>59</v>
      </c>
      <c r="I487" t="s">
        <v>18</v>
      </c>
      <c r="J487">
        <v>4</v>
      </c>
      <c r="K487" t="str">
        <f t="shared" si="22"/>
        <v>0 to 10</v>
      </c>
      <c r="O487">
        <v>1.9</v>
      </c>
      <c r="P487" t="b">
        <v>0</v>
      </c>
      <c r="Q487" t="s">
        <v>2077</v>
      </c>
      <c r="R487">
        <v>88</v>
      </c>
      <c r="S487" s="2">
        <v>0.88</v>
      </c>
      <c r="T487" s="2" t="str">
        <f t="shared" si="23"/>
        <v>81% to 90%</v>
      </c>
      <c r="U487">
        <v>0.88</v>
      </c>
    </row>
    <row r="488" spans="1:21" x14ac:dyDescent="0.3">
      <c r="A488" t="s">
        <v>1039</v>
      </c>
      <c r="B488" t="s">
        <v>1040</v>
      </c>
      <c r="C488" t="s">
        <v>36</v>
      </c>
      <c r="D488" t="s">
        <v>20</v>
      </c>
      <c r="E488">
        <v>35</v>
      </c>
      <c r="F488" t="str">
        <f t="shared" si="21"/>
        <v>31 to 40</v>
      </c>
      <c r="G488" t="s">
        <v>50</v>
      </c>
      <c r="H488" t="s">
        <v>51</v>
      </c>
      <c r="I488" t="s">
        <v>18</v>
      </c>
      <c r="J488">
        <v>3</v>
      </c>
      <c r="K488" t="str">
        <f t="shared" si="22"/>
        <v>0 to 10</v>
      </c>
      <c r="L488" s="1">
        <v>30</v>
      </c>
      <c r="M488" t="s">
        <v>2068</v>
      </c>
      <c r="N488" t="s">
        <v>2069</v>
      </c>
      <c r="O488">
        <v>3.8</v>
      </c>
      <c r="P488" t="s">
        <v>19</v>
      </c>
      <c r="Q488" t="s">
        <v>2076</v>
      </c>
      <c r="R488">
        <v>0.81</v>
      </c>
      <c r="S488" s="2">
        <v>0.81</v>
      </c>
      <c r="T488" s="2" t="str">
        <f t="shared" si="23"/>
        <v>81% to 90%</v>
      </c>
    </row>
    <row r="489" spans="1:21" x14ac:dyDescent="0.3">
      <c r="A489" t="s">
        <v>1041</v>
      </c>
      <c r="B489" t="s">
        <v>1042</v>
      </c>
      <c r="C489" t="s">
        <v>36</v>
      </c>
      <c r="D489" t="s">
        <v>20</v>
      </c>
      <c r="E489">
        <v>27</v>
      </c>
      <c r="F489" t="str">
        <f t="shared" si="21"/>
        <v>21 to 30</v>
      </c>
      <c r="G489" t="s">
        <v>31</v>
      </c>
      <c r="H489" t="s">
        <v>32</v>
      </c>
      <c r="I489" t="s">
        <v>18</v>
      </c>
      <c r="J489">
        <v>4</v>
      </c>
      <c r="K489" t="str">
        <f t="shared" si="22"/>
        <v>0 to 10</v>
      </c>
      <c r="L489" s="1">
        <v>20</v>
      </c>
      <c r="M489" t="s">
        <v>2072</v>
      </c>
      <c r="P489">
        <v>0</v>
      </c>
      <c r="Q489" t="s">
        <v>2077</v>
      </c>
      <c r="R489">
        <v>0.63</v>
      </c>
      <c r="S489" s="2">
        <v>0.63</v>
      </c>
      <c r="T489" s="2" t="str">
        <f t="shared" si="23"/>
        <v>61% to 70 %</v>
      </c>
    </row>
    <row r="490" spans="1:21" x14ac:dyDescent="0.3">
      <c r="A490" t="s">
        <v>1043</v>
      </c>
      <c r="B490" t="s">
        <v>1044</v>
      </c>
      <c r="C490" t="s">
        <v>36</v>
      </c>
      <c r="D490" t="s">
        <v>20</v>
      </c>
      <c r="E490">
        <v>56</v>
      </c>
      <c r="F490" t="str">
        <f t="shared" si="21"/>
        <v>51 to 60</v>
      </c>
      <c r="G490" t="s">
        <v>254</v>
      </c>
      <c r="H490" t="s">
        <v>255</v>
      </c>
      <c r="I490" t="s">
        <v>47</v>
      </c>
      <c r="J490">
        <v>13</v>
      </c>
      <c r="K490" t="str">
        <f t="shared" si="22"/>
        <v>11 to 20</v>
      </c>
      <c r="L490" s="1">
        <v>40</v>
      </c>
      <c r="M490" t="s">
        <v>2068</v>
      </c>
      <c r="N490" t="s">
        <v>2067</v>
      </c>
      <c r="P490">
        <v>1</v>
      </c>
      <c r="Q490" t="s">
        <v>2076</v>
      </c>
      <c r="R490">
        <v>0.87</v>
      </c>
      <c r="S490" s="2">
        <v>0.87</v>
      </c>
      <c r="T490" s="2" t="str">
        <f t="shared" si="23"/>
        <v>81% to 90%</v>
      </c>
    </row>
    <row r="491" spans="1:21" x14ac:dyDescent="0.3">
      <c r="A491" t="s">
        <v>1045</v>
      </c>
      <c r="B491" t="s">
        <v>1046</v>
      </c>
      <c r="C491" t="s">
        <v>36</v>
      </c>
      <c r="D491" t="s">
        <v>20</v>
      </c>
      <c r="E491">
        <v>31</v>
      </c>
      <c r="F491" t="str">
        <f t="shared" si="21"/>
        <v>31 to 40</v>
      </c>
      <c r="G491" t="s">
        <v>158</v>
      </c>
      <c r="H491" t="s">
        <v>159</v>
      </c>
      <c r="I491" t="s">
        <v>79</v>
      </c>
      <c r="J491">
        <v>5</v>
      </c>
      <c r="K491" t="str">
        <f t="shared" si="22"/>
        <v>0 to 10</v>
      </c>
      <c r="O491">
        <v>2.7</v>
      </c>
      <c r="P491">
        <v>1</v>
      </c>
      <c r="Q491" t="s">
        <v>2076</v>
      </c>
      <c r="R491">
        <v>94</v>
      </c>
      <c r="S491" s="2">
        <v>0.94</v>
      </c>
      <c r="T491" s="2" t="str">
        <f t="shared" si="23"/>
        <v>91% to 100%</v>
      </c>
      <c r="U491">
        <v>0.94</v>
      </c>
    </row>
    <row r="492" spans="1:21" x14ac:dyDescent="0.3">
      <c r="A492" t="s">
        <v>1047</v>
      </c>
      <c r="B492" t="s">
        <v>1048</v>
      </c>
      <c r="C492" t="s">
        <v>15</v>
      </c>
      <c r="D492" t="s">
        <v>20</v>
      </c>
      <c r="E492">
        <v>41</v>
      </c>
      <c r="F492" t="str">
        <f t="shared" si="21"/>
        <v>41 to 50</v>
      </c>
      <c r="G492" t="s">
        <v>83</v>
      </c>
      <c r="H492" t="s">
        <v>84</v>
      </c>
      <c r="I492" t="s">
        <v>39</v>
      </c>
      <c r="J492">
        <v>11</v>
      </c>
      <c r="K492" t="str">
        <f t="shared" si="22"/>
        <v>11 to 20</v>
      </c>
      <c r="L492" s="1">
        <v>20</v>
      </c>
      <c r="M492" t="s">
        <v>2065</v>
      </c>
      <c r="N492" t="s">
        <v>2072</v>
      </c>
      <c r="O492">
        <v>4.7</v>
      </c>
      <c r="R492">
        <v>0.69</v>
      </c>
      <c r="S492" s="2">
        <v>0.69</v>
      </c>
      <c r="T492" s="2" t="str">
        <f t="shared" si="23"/>
        <v>61% to 70 %</v>
      </c>
    </row>
    <row r="493" spans="1:21" x14ac:dyDescent="0.3">
      <c r="A493" t="s">
        <v>1049</v>
      </c>
      <c r="B493" t="s">
        <v>1050</v>
      </c>
      <c r="C493" t="s">
        <v>36</v>
      </c>
      <c r="D493" t="s">
        <v>20</v>
      </c>
      <c r="E493">
        <v>52</v>
      </c>
      <c r="F493" t="str">
        <f t="shared" si="21"/>
        <v>51 to 60</v>
      </c>
      <c r="G493" t="s">
        <v>155</v>
      </c>
      <c r="H493" t="s">
        <v>17</v>
      </c>
      <c r="I493" t="s">
        <v>47</v>
      </c>
      <c r="J493">
        <v>12</v>
      </c>
      <c r="K493" t="str">
        <f t="shared" si="22"/>
        <v>11 to 20</v>
      </c>
      <c r="L493" s="1">
        <v>40</v>
      </c>
      <c r="M493" t="s">
        <v>2067</v>
      </c>
      <c r="O493">
        <v>1.2</v>
      </c>
      <c r="P493">
        <v>0</v>
      </c>
      <c r="Q493" t="s">
        <v>2077</v>
      </c>
      <c r="R493">
        <v>0.76</v>
      </c>
      <c r="S493" s="2">
        <v>0.76</v>
      </c>
      <c r="T493" s="2" t="str">
        <f t="shared" si="23"/>
        <v>71% to 80%</v>
      </c>
    </row>
    <row r="494" spans="1:21" x14ac:dyDescent="0.3">
      <c r="A494" t="s">
        <v>1051</v>
      </c>
      <c r="B494" t="s">
        <v>1052</v>
      </c>
      <c r="C494" t="s">
        <v>15</v>
      </c>
      <c r="D494" t="s">
        <v>20</v>
      </c>
      <c r="E494">
        <v>46</v>
      </c>
      <c r="F494" t="str">
        <f t="shared" si="21"/>
        <v>41 to 50</v>
      </c>
      <c r="G494" t="s">
        <v>31</v>
      </c>
      <c r="H494" t="s">
        <v>32</v>
      </c>
      <c r="I494" t="s">
        <v>63</v>
      </c>
      <c r="J494">
        <v>0</v>
      </c>
      <c r="K494" t="str">
        <f t="shared" si="22"/>
        <v>0 to 10</v>
      </c>
      <c r="O494">
        <v>1.8</v>
      </c>
      <c r="P494" t="s">
        <v>53</v>
      </c>
      <c r="Q494" t="s">
        <v>2077</v>
      </c>
      <c r="R494">
        <v>0.88</v>
      </c>
      <c r="S494" s="2">
        <v>0.88</v>
      </c>
      <c r="T494" s="2" t="str">
        <f t="shared" si="23"/>
        <v>81% to 90%</v>
      </c>
    </row>
    <row r="495" spans="1:21" x14ac:dyDescent="0.3">
      <c r="A495" t="s">
        <v>1053</v>
      </c>
      <c r="B495" t="s">
        <v>1054</v>
      </c>
      <c r="C495" t="s">
        <v>15</v>
      </c>
      <c r="D495" t="s">
        <v>20</v>
      </c>
      <c r="E495">
        <v>54</v>
      </c>
      <c r="F495" t="str">
        <f t="shared" si="21"/>
        <v>51 to 60</v>
      </c>
      <c r="G495" t="s">
        <v>16</v>
      </c>
      <c r="H495" t="s">
        <v>17</v>
      </c>
      <c r="I495" t="s">
        <v>18</v>
      </c>
      <c r="J495">
        <v>3</v>
      </c>
      <c r="K495" t="str">
        <f t="shared" si="22"/>
        <v>0 to 10</v>
      </c>
      <c r="L495" s="1">
        <v>20</v>
      </c>
      <c r="M495" t="s">
        <v>2072</v>
      </c>
      <c r="O495">
        <v>1.6</v>
      </c>
      <c r="P495" t="s">
        <v>96</v>
      </c>
      <c r="Q495" t="s">
        <v>2076</v>
      </c>
      <c r="R495">
        <v>0.7</v>
      </c>
      <c r="S495" s="2">
        <v>0.7</v>
      </c>
      <c r="T495" s="2" t="str">
        <f t="shared" si="23"/>
        <v>61% to 70 %</v>
      </c>
    </row>
    <row r="496" spans="1:21" x14ac:dyDescent="0.3">
      <c r="A496" t="s">
        <v>1055</v>
      </c>
      <c r="B496" t="s">
        <v>1056</v>
      </c>
      <c r="C496" t="s">
        <v>36</v>
      </c>
      <c r="D496" t="s">
        <v>20</v>
      </c>
      <c r="E496">
        <v>36</v>
      </c>
      <c r="F496" t="str">
        <f t="shared" si="21"/>
        <v>31 to 40</v>
      </c>
      <c r="G496" t="s">
        <v>42</v>
      </c>
      <c r="H496" t="s">
        <v>43</v>
      </c>
      <c r="I496" t="s">
        <v>79</v>
      </c>
      <c r="J496">
        <v>6</v>
      </c>
      <c r="K496" t="str">
        <f t="shared" si="22"/>
        <v>0 to 10</v>
      </c>
      <c r="L496" s="1">
        <v>20</v>
      </c>
      <c r="M496" t="s">
        <v>2072</v>
      </c>
      <c r="O496">
        <v>1</v>
      </c>
      <c r="P496" t="s">
        <v>96</v>
      </c>
      <c r="Q496" t="s">
        <v>2076</v>
      </c>
      <c r="R496">
        <v>0.64</v>
      </c>
      <c r="S496" s="2">
        <v>0.64</v>
      </c>
      <c r="T496" s="2" t="str">
        <f t="shared" si="23"/>
        <v>61% to 70 %</v>
      </c>
    </row>
    <row r="497" spans="1:21" x14ac:dyDescent="0.3">
      <c r="A497" t="s">
        <v>1057</v>
      </c>
      <c r="B497" t="s">
        <v>1058</v>
      </c>
      <c r="C497" t="s">
        <v>15</v>
      </c>
      <c r="D497" t="s">
        <v>20</v>
      </c>
      <c r="E497">
        <v>50</v>
      </c>
      <c r="F497" t="str">
        <f t="shared" si="21"/>
        <v>41 to 50</v>
      </c>
      <c r="G497" t="s">
        <v>101</v>
      </c>
      <c r="H497" t="s">
        <v>59</v>
      </c>
      <c r="I497" t="s">
        <v>18</v>
      </c>
      <c r="J497">
        <v>17</v>
      </c>
      <c r="K497" t="str">
        <f t="shared" si="22"/>
        <v>11 to 20</v>
      </c>
      <c r="L497" s="1">
        <v>75</v>
      </c>
      <c r="M497" t="s">
        <v>2066</v>
      </c>
      <c r="O497">
        <v>3.3</v>
      </c>
      <c r="P497">
        <v>1</v>
      </c>
      <c r="Q497" t="s">
        <v>2076</v>
      </c>
      <c r="R497">
        <v>0.69</v>
      </c>
      <c r="S497" s="2">
        <v>0.69</v>
      </c>
      <c r="T497" s="2" t="str">
        <f t="shared" si="23"/>
        <v>61% to 70 %</v>
      </c>
    </row>
    <row r="498" spans="1:21" x14ac:dyDescent="0.3">
      <c r="A498" t="s">
        <v>1059</v>
      </c>
      <c r="B498" t="s">
        <v>1060</v>
      </c>
      <c r="C498" t="s">
        <v>36</v>
      </c>
      <c r="D498" t="s">
        <v>20</v>
      </c>
      <c r="E498">
        <v>52</v>
      </c>
      <c r="F498" t="str">
        <f t="shared" si="21"/>
        <v>51 to 60</v>
      </c>
      <c r="G498" t="s">
        <v>155</v>
      </c>
      <c r="H498" t="s">
        <v>17</v>
      </c>
      <c r="I498" t="s">
        <v>79</v>
      </c>
      <c r="J498">
        <v>30</v>
      </c>
      <c r="K498" t="str">
        <f t="shared" si="22"/>
        <v>21 to 30</v>
      </c>
      <c r="L498" s="1">
        <v>100</v>
      </c>
      <c r="M498" t="s">
        <v>2068</v>
      </c>
      <c r="N498" t="s">
        <v>2070</v>
      </c>
      <c r="O498">
        <v>2.5</v>
      </c>
      <c r="R498">
        <v>61</v>
      </c>
      <c r="S498" s="2">
        <v>0.61</v>
      </c>
      <c r="T498" s="2" t="str">
        <f t="shared" si="23"/>
        <v>61% to 70 %</v>
      </c>
      <c r="U498">
        <v>0.61</v>
      </c>
    </row>
    <row r="499" spans="1:21" x14ac:dyDescent="0.3">
      <c r="A499" t="s">
        <v>1061</v>
      </c>
      <c r="B499" t="s">
        <v>1062</v>
      </c>
      <c r="C499" t="s">
        <v>15</v>
      </c>
      <c r="D499" t="s">
        <v>20</v>
      </c>
      <c r="E499">
        <v>26</v>
      </c>
      <c r="F499" t="str">
        <f t="shared" si="21"/>
        <v>21 to 30</v>
      </c>
      <c r="G499" t="s">
        <v>155</v>
      </c>
      <c r="H499" t="s">
        <v>17</v>
      </c>
      <c r="I499" t="s">
        <v>63</v>
      </c>
      <c r="J499">
        <v>5</v>
      </c>
      <c r="K499" t="str">
        <f t="shared" si="22"/>
        <v>0 to 10</v>
      </c>
      <c r="L499" s="1">
        <v>50</v>
      </c>
      <c r="M499" t="s">
        <v>2071</v>
      </c>
      <c r="O499">
        <v>0</v>
      </c>
      <c r="P499" t="s">
        <v>53</v>
      </c>
      <c r="Q499" t="s">
        <v>2077</v>
      </c>
      <c r="T499" s="2" t="str">
        <f t="shared" si="23"/>
        <v/>
      </c>
    </row>
    <row r="500" spans="1:21" x14ac:dyDescent="0.3">
      <c r="A500" t="s">
        <v>1063</v>
      </c>
      <c r="B500" t="s">
        <v>1064</v>
      </c>
      <c r="C500" t="s">
        <v>15</v>
      </c>
      <c r="D500" t="s">
        <v>20</v>
      </c>
      <c r="E500">
        <v>30</v>
      </c>
      <c r="F500" t="str">
        <f t="shared" si="21"/>
        <v>21 to 30</v>
      </c>
      <c r="G500" t="s">
        <v>101</v>
      </c>
      <c r="H500" t="s">
        <v>59</v>
      </c>
      <c r="I500" t="s">
        <v>63</v>
      </c>
      <c r="J500">
        <v>11</v>
      </c>
      <c r="K500" t="str">
        <f t="shared" si="22"/>
        <v>11 to 20</v>
      </c>
      <c r="L500" s="1">
        <v>30</v>
      </c>
      <c r="M500" t="s">
        <v>2065</v>
      </c>
      <c r="N500" t="s">
        <v>2069</v>
      </c>
      <c r="O500">
        <v>4.2</v>
      </c>
      <c r="P500">
        <v>0</v>
      </c>
      <c r="Q500" t="s">
        <v>2077</v>
      </c>
      <c r="R500">
        <v>0.65</v>
      </c>
      <c r="S500" s="2">
        <v>0.65</v>
      </c>
      <c r="T500" s="2" t="str">
        <f t="shared" si="23"/>
        <v>61% to 70 %</v>
      </c>
    </row>
    <row r="501" spans="1:21" x14ac:dyDescent="0.3">
      <c r="A501" t="s">
        <v>1065</v>
      </c>
      <c r="B501" t="s">
        <v>1066</v>
      </c>
      <c r="C501" t="s">
        <v>15</v>
      </c>
      <c r="D501" t="s">
        <v>20</v>
      </c>
      <c r="E501">
        <v>51</v>
      </c>
      <c r="F501" t="str">
        <f t="shared" si="21"/>
        <v>51 to 60</v>
      </c>
      <c r="G501" t="s">
        <v>155</v>
      </c>
      <c r="H501" t="s">
        <v>17</v>
      </c>
      <c r="I501" t="s">
        <v>63</v>
      </c>
      <c r="J501">
        <v>22</v>
      </c>
      <c r="K501" t="str">
        <f t="shared" si="22"/>
        <v>21 to 30</v>
      </c>
      <c r="L501" s="1">
        <v>20</v>
      </c>
      <c r="M501" t="s">
        <v>2072</v>
      </c>
      <c r="O501">
        <v>3.4</v>
      </c>
      <c r="P501" t="b">
        <v>1</v>
      </c>
      <c r="Q501" t="s">
        <v>2076</v>
      </c>
      <c r="R501">
        <v>90</v>
      </c>
      <c r="S501" s="2">
        <v>0.9</v>
      </c>
      <c r="T501" s="2" t="str">
        <f t="shared" si="23"/>
        <v>81% to 90%</v>
      </c>
      <c r="U501">
        <v>0.9</v>
      </c>
    </row>
    <row r="502" spans="1:21" x14ac:dyDescent="0.3">
      <c r="A502" t="s">
        <v>1067</v>
      </c>
      <c r="B502" t="s">
        <v>1068</v>
      </c>
      <c r="C502" t="s">
        <v>15</v>
      </c>
      <c r="D502" t="s">
        <v>20</v>
      </c>
      <c r="E502">
        <v>59</v>
      </c>
      <c r="F502" t="str">
        <f t="shared" si="21"/>
        <v>51 to 60</v>
      </c>
      <c r="G502" t="s">
        <v>139</v>
      </c>
      <c r="H502" t="s">
        <v>59</v>
      </c>
      <c r="I502" t="s">
        <v>60</v>
      </c>
      <c r="J502">
        <v>17</v>
      </c>
      <c r="K502" t="str">
        <f t="shared" si="22"/>
        <v>11 to 20</v>
      </c>
      <c r="L502" s="1">
        <v>50</v>
      </c>
      <c r="M502" t="s">
        <v>2071</v>
      </c>
      <c r="O502">
        <v>1.4</v>
      </c>
      <c r="P502" t="s">
        <v>19</v>
      </c>
      <c r="Q502" t="s">
        <v>2076</v>
      </c>
      <c r="T502" s="2" t="str">
        <f t="shared" si="23"/>
        <v/>
      </c>
    </row>
    <row r="503" spans="1:21" x14ac:dyDescent="0.3">
      <c r="A503" t="s">
        <v>1069</v>
      </c>
      <c r="B503" t="s">
        <v>1070</v>
      </c>
      <c r="C503" t="s">
        <v>36</v>
      </c>
      <c r="D503" t="s">
        <v>20</v>
      </c>
      <c r="E503">
        <v>45</v>
      </c>
      <c r="F503" t="str">
        <f t="shared" si="21"/>
        <v>41 to 50</v>
      </c>
      <c r="G503" t="s">
        <v>139</v>
      </c>
      <c r="H503" t="s">
        <v>59</v>
      </c>
      <c r="I503" t="s">
        <v>79</v>
      </c>
      <c r="J503">
        <v>16</v>
      </c>
      <c r="K503" t="str">
        <f t="shared" si="22"/>
        <v>11 to 20</v>
      </c>
      <c r="L503" s="1">
        <v>100</v>
      </c>
      <c r="M503" t="s">
        <v>2070</v>
      </c>
      <c r="O503">
        <v>4.5999999999999996</v>
      </c>
      <c r="P503" t="s">
        <v>53</v>
      </c>
      <c r="Q503" t="s">
        <v>2077</v>
      </c>
      <c r="R503">
        <v>0.78</v>
      </c>
      <c r="S503" s="2">
        <v>0.78</v>
      </c>
      <c r="T503" s="2" t="str">
        <f t="shared" si="23"/>
        <v>71% to 80%</v>
      </c>
    </row>
    <row r="504" spans="1:21" x14ac:dyDescent="0.3">
      <c r="A504" t="s">
        <v>1071</v>
      </c>
      <c r="B504" t="s">
        <v>1072</v>
      </c>
      <c r="C504" t="s">
        <v>36</v>
      </c>
      <c r="D504" t="s">
        <v>20</v>
      </c>
      <c r="E504">
        <v>37</v>
      </c>
      <c r="F504" t="str">
        <f t="shared" si="21"/>
        <v>31 to 40</v>
      </c>
      <c r="G504" t="s">
        <v>254</v>
      </c>
      <c r="H504" t="s">
        <v>255</v>
      </c>
      <c r="I504" t="s">
        <v>66</v>
      </c>
      <c r="K504" t="str">
        <f t="shared" si="22"/>
        <v/>
      </c>
      <c r="L504" s="1">
        <v>50</v>
      </c>
      <c r="M504" t="s">
        <v>2071</v>
      </c>
      <c r="O504">
        <v>4.5999999999999996</v>
      </c>
      <c r="P504">
        <v>0</v>
      </c>
      <c r="Q504" t="s">
        <v>2077</v>
      </c>
      <c r="R504">
        <v>0.83</v>
      </c>
      <c r="S504" s="2">
        <v>0.83</v>
      </c>
      <c r="T504" s="2" t="str">
        <f t="shared" si="23"/>
        <v>81% to 90%</v>
      </c>
    </row>
    <row r="505" spans="1:21" x14ac:dyDescent="0.3">
      <c r="A505" t="s">
        <v>1073</v>
      </c>
      <c r="B505" t="s">
        <v>1074</v>
      </c>
      <c r="C505" t="s">
        <v>76</v>
      </c>
      <c r="D505" t="s">
        <v>80</v>
      </c>
      <c r="E505">
        <v>56</v>
      </c>
      <c r="F505" t="str">
        <f t="shared" si="21"/>
        <v>51 to 60</v>
      </c>
      <c r="G505" t="s">
        <v>23</v>
      </c>
      <c r="H505" t="s">
        <v>24</v>
      </c>
      <c r="I505" t="s">
        <v>47</v>
      </c>
      <c r="J505">
        <v>2</v>
      </c>
      <c r="K505" t="str">
        <f t="shared" si="22"/>
        <v>0 to 10</v>
      </c>
      <c r="L505" s="1">
        <v>30</v>
      </c>
      <c r="M505" t="s">
        <v>2069</v>
      </c>
      <c r="O505">
        <v>1.9</v>
      </c>
      <c r="P505">
        <v>1</v>
      </c>
      <c r="Q505" t="s">
        <v>2076</v>
      </c>
      <c r="R505">
        <v>0.81</v>
      </c>
      <c r="S505" s="2">
        <v>0.81</v>
      </c>
      <c r="T505" s="2" t="str">
        <f t="shared" si="23"/>
        <v>81% to 90%</v>
      </c>
    </row>
    <row r="506" spans="1:21" x14ac:dyDescent="0.3">
      <c r="A506" t="s">
        <v>1075</v>
      </c>
      <c r="B506" t="s">
        <v>1076</v>
      </c>
      <c r="C506" t="s">
        <v>15</v>
      </c>
      <c r="D506" t="s">
        <v>20</v>
      </c>
      <c r="E506">
        <v>47</v>
      </c>
      <c r="F506" t="str">
        <f t="shared" si="21"/>
        <v>41 to 50</v>
      </c>
      <c r="G506" t="s">
        <v>42</v>
      </c>
      <c r="H506" t="s">
        <v>43</v>
      </c>
      <c r="I506" t="s">
        <v>63</v>
      </c>
      <c r="J506">
        <v>17</v>
      </c>
      <c r="K506" t="str">
        <f t="shared" si="22"/>
        <v>11 to 20</v>
      </c>
      <c r="L506" s="1">
        <v>50</v>
      </c>
      <c r="M506" t="s">
        <v>2071</v>
      </c>
      <c r="O506">
        <v>1.2</v>
      </c>
      <c r="P506" t="s">
        <v>53</v>
      </c>
      <c r="Q506" t="s">
        <v>2077</v>
      </c>
      <c r="T506" s="2" t="str">
        <f t="shared" si="23"/>
        <v/>
      </c>
    </row>
    <row r="507" spans="1:21" x14ac:dyDescent="0.3">
      <c r="A507" t="s">
        <v>1077</v>
      </c>
      <c r="B507" t="s">
        <v>1078</v>
      </c>
      <c r="C507" t="s">
        <v>15</v>
      </c>
      <c r="D507" t="s">
        <v>20</v>
      </c>
      <c r="E507">
        <v>56</v>
      </c>
      <c r="F507" t="str">
        <f t="shared" si="21"/>
        <v>51 to 60</v>
      </c>
      <c r="G507" t="s">
        <v>158</v>
      </c>
      <c r="H507" t="s">
        <v>159</v>
      </c>
      <c r="I507" t="s">
        <v>63</v>
      </c>
      <c r="J507">
        <v>18</v>
      </c>
      <c r="K507" t="str">
        <f t="shared" si="22"/>
        <v>11 to 20</v>
      </c>
      <c r="L507" s="1">
        <v>50</v>
      </c>
      <c r="M507" t="s">
        <v>2068</v>
      </c>
      <c r="N507" t="s">
        <v>2071</v>
      </c>
      <c r="O507">
        <v>4.4000000000000004</v>
      </c>
      <c r="P507" t="s">
        <v>96</v>
      </c>
      <c r="Q507" t="s">
        <v>2076</v>
      </c>
      <c r="R507">
        <v>0.83</v>
      </c>
      <c r="S507" s="2">
        <v>0.83</v>
      </c>
      <c r="T507" s="2" t="str">
        <f t="shared" si="23"/>
        <v>81% to 90%</v>
      </c>
    </row>
    <row r="508" spans="1:21" x14ac:dyDescent="0.3">
      <c r="A508" t="s">
        <v>1079</v>
      </c>
      <c r="B508" t="s">
        <v>1080</v>
      </c>
      <c r="C508" t="s">
        <v>15</v>
      </c>
      <c r="D508" t="s">
        <v>20</v>
      </c>
      <c r="E508">
        <v>35</v>
      </c>
      <c r="F508" t="str">
        <f t="shared" si="21"/>
        <v>31 to 40</v>
      </c>
      <c r="G508" t="s">
        <v>104</v>
      </c>
      <c r="H508" t="s">
        <v>105</v>
      </c>
      <c r="I508" t="s">
        <v>18</v>
      </c>
      <c r="J508">
        <v>6</v>
      </c>
      <c r="K508" t="str">
        <f t="shared" si="22"/>
        <v>0 to 10</v>
      </c>
      <c r="L508" s="1">
        <v>75</v>
      </c>
      <c r="M508" t="s">
        <v>2068</v>
      </c>
      <c r="N508" t="s">
        <v>2066</v>
      </c>
      <c r="O508">
        <v>1.6</v>
      </c>
      <c r="P508">
        <v>1</v>
      </c>
      <c r="Q508" t="s">
        <v>2076</v>
      </c>
      <c r="R508">
        <v>0.97</v>
      </c>
      <c r="S508" s="2">
        <v>0.97</v>
      </c>
      <c r="T508" s="2" t="str">
        <f t="shared" si="23"/>
        <v>91% to 100%</v>
      </c>
    </row>
    <row r="509" spans="1:21" x14ac:dyDescent="0.3">
      <c r="A509" t="s">
        <v>1081</v>
      </c>
      <c r="B509" t="s">
        <v>1082</v>
      </c>
      <c r="C509" t="s">
        <v>15</v>
      </c>
      <c r="D509" t="s">
        <v>20</v>
      </c>
      <c r="E509">
        <v>53</v>
      </c>
      <c r="F509" t="str">
        <f t="shared" si="21"/>
        <v>51 to 60</v>
      </c>
      <c r="G509" t="s">
        <v>27</v>
      </c>
      <c r="H509" t="s">
        <v>28</v>
      </c>
      <c r="I509" t="s">
        <v>79</v>
      </c>
      <c r="J509">
        <v>31</v>
      </c>
      <c r="K509" t="str">
        <f t="shared" si="22"/>
        <v>31 to 40</v>
      </c>
      <c r="L509" s="1">
        <v>50</v>
      </c>
      <c r="M509" t="s">
        <v>2071</v>
      </c>
      <c r="O509">
        <v>0</v>
      </c>
      <c r="P509" t="s">
        <v>53</v>
      </c>
      <c r="Q509" t="s">
        <v>2077</v>
      </c>
      <c r="R509">
        <v>0.71</v>
      </c>
      <c r="S509" s="2">
        <v>0.71</v>
      </c>
      <c r="T509" s="2" t="str">
        <f t="shared" si="23"/>
        <v>71% to 80%</v>
      </c>
    </row>
    <row r="510" spans="1:21" x14ac:dyDescent="0.3">
      <c r="A510" t="s">
        <v>1083</v>
      </c>
      <c r="B510" t="s">
        <v>1084</v>
      </c>
      <c r="C510" t="s">
        <v>76</v>
      </c>
      <c r="D510" t="s">
        <v>80</v>
      </c>
      <c r="E510">
        <v>22</v>
      </c>
      <c r="F510" t="str">
        <f t="shared" si="21"/>
        <v>21 to 30</v>
      </c>
      <c r="G510" t="s">
        <v>101</v>
      </c>
      <c r="H510" t="s">
        <v>59</v>
      </c>
      <c r="I510" t="s">
        <v>33</v>
      </c>
      <c r="J510">
        <v>2</v>
      </c>
      <c r="K510" t="str">
        <f t="shared" si="22"/>
        <v>0 to 10</v>
      </c>
      <c r="L510" s="1">
        <v>40</v>
      </c>
      <c r="M510" t="s">
        <v>2067</v>
      </c>
      <c r="O510">
        <v>1.1000000000000001</v>
      </c>
      <c r="P510" t="s">
        <v>67</v>
      </c>
      <c r="Q510" t="s">
        <v>2077</v>
      </c>
      <c r="R510">
        <v>0.76</v>
      </c>
      <c r="S510" s="2">
        <v>0.76</v>
      </c>
      <c r="T510" s="2" t="str">
        <f t="shared" si="23"/>
        <v>71% to 80%</v>
      </c>
    </row>
    <row r="511" spans="1:21" x14ac:dyDescent="0.3">
      <c r="A511" t="s">
        <v>1085</v>
      </c>
      <c r="B511" t="s">
        <v>1086</v>
      </c>
      <c r="C511" t="s">
        <v>111</v>
      </c>
      <c r="D511" t="s">
        <v>80</v>
      </c>
      <c r="E511">
        <v>41</v>
      </c>
      <c r="F511" t="str">
        <f t="shared" si="21"/>
        <v>41 to 50</v>
      </c>
      <c r="G511" t="s">
        <v>158</v>
      </c>
      <c r="H511" t="s">
        <v>159</v>
      </c>
      <c r="I511" t="s">
        <v>47</v>
      </c>
      <c r="J511">
        <v>19</v>
      </c>
      <c r="K511" t="str">
        <f t="shared" si="22"/>
        <v>11 to 20</v>
      </c>
      <c r="L511" s="1">
        <v>100</v>
      </c>
      <c r="M511" t="s">
        <v>2070</v>
      </c>
      <c r="O511">
        <v>3.8</v>
      </c>
      <c r="P511" t="s">
        <v>19</v>
      </c>
      <c r="Q511" t="s">
        <v>2076</v>
      </c>
      <c r="R511">
        <v>0.71</v>
      </c>
      <c r="S511" s="2">
        <v>0.71</v>
      </c>
      <c r="T511" s="2" t="str">
        <f t="shared" si="23"/>
        <v>71% to 80%</v>
      </c>
    </row>
    <row r="512" spans="1:21" x14ac:dyDescent="0.3">
      <c r="A512" t="s">
        <v>1087</v>
      </c>
      <c r="B512" t="s">
        <v>1088</v>
      </c>
      <c r="C512" t="s">
        <v>111</v>
      </c>
      <c r="D512" t="s">
        <v>80</v>
      </c>
      <c r="E512">
        <v>23</v>
      </c>
      <c r="F512" t="str">
        <f t="shared" si="21"/>
        <v>21 to 30</v>
      </c>
      <c r="G512" t="s">
        <v>42</v>
      </c>
      <c r="H512" t="s">
        <v>43</v>
      </c>
      <c r="I512" t="s">
        <v>79</v>
      </c>
      <c r="J512">
        <v>2</v>
      </c>
      <c r="K512" t="str">
        <f t="shared" si="22"/>
        <v>0 to 10</v>
      </c>
      <c r="L512" s="1">
        <v>50</v>
      </c>
      <c r="M512" t="s">
        <v>2071</v>
      </c>
      <c r="O512">
        <v>3.2</v>
      </c>
      <c r="P512" t="b">
        <v>1</v>
      </c>
      <c r="Q512" t="s">
        <v>2076</v>
      </c>
      <c r="T512" s="2" t="str">
        <f t="shared" si="23"/>
        <v/>
      </c>
    </row>
    <row r="513" spans="1:20" x14ac:dyDescent="0.3">
      <c r="A513" t="s">
        <v>1089</v>
      </c>
      <c r="B513" t="s">
        <v>1090</v>
      </c>
      <c r="C513" t="s">
        <v>76</v>
      </c>
      <c r="D513" t="s">
        <v>80</v>
      </c>
      <c r="E513">
        <v>34</v>
      </c>
      <c r="F513" t="str">
        <f t="shared" si="21"/>
        <v>31 to 40</v>
      </c>
      <c r="G513" t="s">
        <v>87</v>
      </c>
      <c r="H513" t="s">
        <v>88</v>
      </c>
      <c r="I513" t="s">
        <v>47</v>
      </c>
      <c r="J513">
        <v>4</v>
      </c>
      <c r="K513" t="str">
        <f t="shared" si="22"/>
        <v>0 to 10</v>
      </c>
      <c r="L513" s="1">
        <v>30</v>
      </c>
      <c r="M513" t="s">
        <v>2065</v>
      </c>
      <c r="N513" t="s">
        <v>2069</v>
      </c>
      <c r="O513">
        <v>3.1</v>
      </c>
      <c r="R513">
        <v>0.9</v>
      </c>
      <c r="S513" s="2">
        <v>0.9</v>
      </c>
      <c r="T513" s="2" t="str">
        <f t="shared" si="23"/>
        <v>81% to 90%</v>
      </c>
    </row>
    <row r="514" spans="1:20" x14ac:dyDescent="0.3">
      <c r="A514" t="s">
        <v>1091</v>
      </c>
      <c r="B514" t="s">
        <v>1092</v>
      </c>
      <c r="C514" t="s">
        <v>36</v>
      </c>
      <c r="D514" t="s">
        <v>20</v>
      </c>
      <c r="E514">
        <v>55</v>
      </c>
      <c r="F514" t="str">
        <f t="shared" ref="F514:F577" si="24">IF(OR($E514="",NOT(ISNUMBER($E514))),"",
 IF($E514&lt;=20,"11 to 20",
 IF($E514&lt;=30,"21 to 30",
 IF($E514&lt;=40,"31 to 40",
 IF($E514&lt;=50,"41 to 50",
 IF($E514&lt;=60,"51 to 60"))))))</f>
        <v>51 to 60</v>
      </c>
      <c r="G514" t="s">
        <v>83</v>
      </c>
      <c r="H514" t="s">
        <v>84</v>
      </c>
      <c r="I514" t="s">
        <v>63</v>
      </c>
      <c r="J514">
        <v>33</v>
      </c>
      <c r="K514" t="str">
        <f t="shared" ref="K514:K577" si="25">IF(OR($J514="",NOT(ISNUMBER($J514))),"",
 IF($J514&lt;=10,"0 to 10",
 IF($J514&lt;=20,"11 to 20",
 IF($J514&lt;=30,"21 to 30",
 IF($J514&lt;=40,"31 to 40",
 "40+")))))</f>
        <v>31 to 40</v>
      </c>
      <c r="L514" s="1">
        <v>50</v>
      </c>
      <c r="M514" t="s">
        <v>2071</v>
      </c>
      <c r="O514">
        <v>0</v>
      </c>
      <c r="P514" t="b">
        <v>0</v>
      </c>
      <c r="Q514" t="s">
        <v>2077</v>
      </c>
      <c r="R514">
        <v>0.92</v>
      </c>
      <c r="S514" s="2">
        <v>0.92</v>
      </c>
      <c r="T514" s="2" t="str">
        <f t="shared" ref="T514:T577" si="26">IF(OR($S514="",NOT(ISNUMBER($S514))),"",
 IF($S514&lt;=0.6,"50% to 60%",
 IF($S514&lt;=0.7,"61% to 70 %",
 IF($S514&lt;=0.8,"71% to 80%",
 IF($S514&lt;=0.9,"81% to 90%",
 IF($S514&lt;=1,"91% to 100%"))))))</f>
        <v>91% to 100%</v>
      </c>
    </row>
    <row r="515" spans="1:20" x14ac:dyDescent="0.3">
      <c r="A515" t="s">
        <v>1093</v>
      </c>
      <c r="B515" t="s">
        <v>1094</v>
      </c>
      <c r="C515" t="s">
        <v>76</v>
      </c>
      <c r="D515" t="s">
        <v>80</v>
      </c>
      <c r="E515">
        <v>49</v>
      </c>
      <c r="F515" t="str">
        <f t="shared" si="24"/>
        <v>41 to 50</v>
      </c>
      <c r="G515" t="s">
        <v>118</v>
      </c>
      <c r="H515" t="s">
        <v>119</v>
      </c>
      <c r="I515" t="s">
        <v>47</v>
      </c>
      <c r="J515">
        <v>13</v>
      </c>
      <c r="K515" t="str">
        <f t="shared" si="25"/>
        <v>11 to 20</v>
      </c>
      <c r="L515" s="1">
        <v>100</v>
      </c>
      <c r="M515" t="s">
        <v>2065</v>
      </c>
      <c r="N515" t="s">
        <v>2070</v>
      </c>
      <c r="O515">
        <v>2.5</v>
      </c>
      <c r="P515" t="b">
        <v>0</v>
      </c>
      <c r="Q515" t="s">
        <v>2077</v>
      </c>
      <c r="T515" s="2" t="str">
        <f t="shared" si="26"/>
        <v/>
      </c>
    </row>
    <row r="516" spans="1:20" x14ac:dyDescent="0.3">
      <c r="A516" t="s">
        <v>1095</v>
      </c>
      <c r="B516" t="s">
        <v>1096</v>
      </c>
      <c r="C516" t="s">
        <v>76</v>
      </c>
      <c r="D516" t="s">
        <v>80</v>
      </c>
      <c r="E516">
        <v>21</v>
      </c>
      <c r="F516" t="str">
        <f t="shared" si="24"/>
        <v>21 to 30</v>
      </c>
      <c r="G516" t="s">
        <v>50</v>
      </c>
      <c r="H516" t="s">
        <v>51</v>
      </c>
      <c r="I516" t="s">
        <v>52</v>
      </c>
      <c r="J516">
        <v>3</v>
      </c>
      <c r="K516" t="str">
        <f t="shared" si="25"/>
        <v>0 to 10</v>
      </c>
      <c r="L516" s="1">
        <v>100</v>
      </c>
      <c r="M516" t="s">
        <v>2065</v>
      </c>
      <c r="N516" t="s">
        <v>2070</v>
      </c>
      <c r="O516">
        <v>4.7</v>
      </c>
      <c r="P516" t="s">
        <v>53</v>
      </c>
      <c r="Q516" t="s">
        <v>2077</v>
      </c>
      <c r="R516">
        <v>0.96</v>
      </c>
      <c r="S516" s="2">
        <v>0.96</v>
      </c>
      <c r="T516" s="2" t="str">
        <f t="shared" si="26"/>
        <v>91% to 100%</v>
      </c>
    </row>
    <row r="517" spans="1:20" x14ac:dyDescent="0.3">
      <c r="A517" t="s">
        <v>1097</v>
      </c>
      <c r="B517" t="s">
        <v>1098</v>
      </c>
      <c r="C517" t="s">
        <v>76</v>
      </c>
      <c r="D517" t="s">
        <v>80</v>
      </c>
      <c r="E517">
        <v>23</v>
      </c>
      <c r="F517" t="str">
        <f t="shared" si="24"/>
        <v>21 to 30</v>
      </c>
      <c r="G517" t="s">
        <v>46</v>
      </c>
      <c r="H517" t="s">
        <v>17</v>
      </c>
      <c r="I517" t="s">
        <v>60</v>
      </c>
      <c r="J517">
        <v>0</v>
      </c>
      <c r="K517" t="str">
        <f t="shared" si="25"/>
        <v>0 to 10</v>
      </c>
      <c r="L517" s="1">
        <v>75</v>
      </c>
      <c r="M517" t="s">
        <v>2066</v>
      </c>
      <c r="O517">
        <v>1.9</v>
      </c>
      <c r="P517" t="b">
        <v>1</v>
      </c>
      <c r="Q517" t="s">
        <v>2076</v>
      </c>
      <c r="R517">
        <v>0.79</v>
      </c>
      <c r="S517" s="2">
        <v>0.79</v>
      </c>
      <c r="T517" s="2" t="str">
        <f t="shared" si="26"/>
        <v>71% to 80%</v>
      </c>
    </row>
    <row r="518" spans="1:20" x14ac:dyDescent="0.3">
      <c r="A518" t="s">
        <v>1099</v>
      </c>
      <c r="B518" t="s">
        <v>1100</v>
      </c>
      <c r="C518" t="s">
        <v>111</v>
      </c>
      <c r="D518" t="s">
        <v>80</v>
      </c>
      <c r="E518">
        <v>22</v>
      </c>
      <c r="F518" t="str">
        <f t="shared" si="24"/>
        <v>21 to 30</v>
      </c>
      <c r="G518" t="s">
        <v>46</v>
      </c>
      <c r="H518" t="s">
        <v>17</v>
      </c>
      <c r="I518" t="s">
        <v>108</v>
      </c>
      <c r="J518">
        <v>2</v>
      </c>
      <c r="K518" t="str">
        <f t="shared" si="25"/>
        <v>0 to 10</v>
      </c>
      <c r="L518" s="1">
        <v>30</v>
      </c>
      <c r="M518" t="s">
        <v>2069</v>
      </c>
      <c r="O518">
        <v>2.1</v>
      </c>
      <c r="T518" s="2" t="str">
        <f t="shared" si="26"/>
        <v/>
      </c>
    </row>
    <row r="519" spans="1:20" x14ac:dyDescent="0.3">
      <c r="A519" t="s">
        <v>1101</v>
      </c>
      <c r="B519" t="s">
        <v>1102</v>
      </c>
      <c r="C519" t="s">
        <v>15</v>
      </c>
      <c r="D519" t="s">
        <v>20</v>
      </c>
      <c r="E519">
        <v>54</v>
      </c>
      <c r="F519" t="str">
        <f t="shared" si="24"/>
        <v>51 to 60</v>
      </c>
      <c r="G519" t="s">
        <v>37</v>
      </c>
      <c r="H519" t="s">
        <v>38</v>
      </c>
      <c r="I519" t="s">
        <v>39</v>
      </c>
      <c r="J519">
        <v>0</v>
      </c>
      <c r="K519" t="str">
        <f t="shared" si="25"/>
        <v>0 to 10</v>
      </c>
      <c r="L519" s="1">
        <v>20</v>
      </c>
      <c r="M519" t="s">
        <v>2065</v>
      </c>
      <c r="N519" t="s">
        <v>2072</v>
      </c>
      <c r="O519">
        <v>4.9000000000000004</v>
      </c>
      <c r="T519" s="2" t="str">
        <f t="shared" si="26"/>
        <v/>
      </c>
    </row>
    <row r="520" spans="1:20" x14ac:dyDescent="0.3">
      <c r="A520" t="s">
        <v>1103</v>
      </c>
      <c r="B520" t="s">
        <v>1104</v>
      </c>
      <c r="C520" t="s">
        <v>15</v>
      </c>
      <c r="D520" t="s">
        <v>20</v>
      </c>
      <c r="E520">
        <v>48</v>
      </c>
      <c r="F520" t="str">
        <f t="shared" si="24"/>
        <v>41 to 50</v>
      </c>
      <c r="G520" t="s">
        <v>23</v>
      </c>
      <c r="H520" t="s">
        <v>24</v>
      </c>
      <c r="I520" t="s">
        <v>60</v>
      </c>
      <c r="J520">
        <v>18</v>
      </c>
      <c r="K520" t="str">
        <f t="shared" si="25"/>
        <v>11 to 20</v>
      </c>
      <c r="L520" s="1">
        <v>50</v>
      </c>
      <c r="M520" t="s">
        <v>2071</v>
      </c>
      <c r="O520">
        <v>0</v>
      </c>
      <c r="P520" t="s">
        <v>96</v>
      </c>
      <c r="Q520" t="s">
        <v>2076</v>
      </c>
      <c r="R520">
        <v>0.64</v>
      </c>
      <c r="S520" s="2">
        <v>0.64</v>
      </c>
      <c r="T520" s="2" t="str">
        <f t="shared" si="26"/>
        <v>61% to 70 %</v>
      </c>
    </row>
    <row r="521" spans="1:20" x14ac:dyDescent="0.3">
      <c r="A521" t="s">
        <v>1105</v>
      </c>
      <c r="B521" t="s">
        <v>1106</v>
      </c>
      <c r="C521" t="s">
        <v>15</v>
      </c>
      <c r="D521" t="s">
        <v>20</v>
      </c>
      <c r="E521">
        <v>54</v>
      </c>
      <c r="F521" t="str">
        <f t="shared" si="24"/>
        <v>51 to 60</v>
      </c>
      <c r="G521" t="s">
        <v>254</v>
      </c>
      <c r="H521" t="s">
        <v>255</v>
      </c>
      <c r="I521" t="s">
        <v>60</v>
      </c>
      <c r="J521">
        <v>9</v>
      </c>
      <c r="K521" t="str">
        <f t="shared" si="25"/>
        <v>0 to 10</v>
      </c>
      <c r="L521" s="1">
        <v>20</v>
      </c>
      <c r="M521" t="s">
        <v>2068</v>
      </c>
      <c r="N521" t="s">
        <v>2072</v>
      </c>
      <c r="O521">
        <v>0</v>
      </c>
      <c r="P521" t="s">
        <v>19</v>
      </c>
      <c r="Q521" t="s">
        <v>2076</v>
      </c>
      <c r="R521">
        <v>0.96</v>
      </c>
      <c r="S521" s="2">
        <v>0.96</v>
      </c>
      <c r="T521" s="2" t="str">
        <f t="shared" si="26"/>
        <v>91% to 100%</v>
      </c>
    </row>
    <row r="522" spans="1:20" x14ac:dyDescent="0.3">
      <c r="A522" t="s">
        <v>1107</v>
      </c>
      <c r="B522" t="s">
        <v>1108</v>
      </c>
      <c r="C522" t="s">
        <v>15</v>
      </c>
      <c r="D522" t="s">
        <v>20</v>
      </c>
      <c r="E522">
        <v>60</v>
      </c>
      <c r="F522" t="str">
        <f t="shared" si="24"/>
        <v>51 to 60</v>
      </c>
      <c r="G522" t="s">
        <v>87</v>
      </c>
      <c r="H522" t="s">
        <v>88</v>
      </c>
      <c r="I522" t="s">
        <v>108</v>
      </c>
      <c r="K522" t="str">
        <f t="shared" si="25"/>
        <v/>
      </c>
      <c r="L522" s="1">
        <v>100</v>
      </c>
      <c r="M522" t="s">
        <v>2070</v>
      </c>
      <c r="O522">
        <v>0</v>
      </c>
      <c r="P522">
        <v>1</v>
      </c>
      <c r="Q522" t="s">
        <v>2076</v>
      </c>
      <c r="R522">
        <v>0.96</v>
      </c>
      <c r="S522" s="2">
        <v>0.96</v>
      </c>
      <c r="T522" s="2" t="str">
        <f t="shared" si="26"/>
        <v>91% to 100%</v>
      </c>
    </row>
    <row r="523" spans="1:20" x14ac:dyDescent="0.3">
      <c r="A523" t="s">
        <v>1109</v>
      </c>
      <c r="B523" t="s">
        <v>1110</v>
      </c>
      <c r="C523" t="s">
        <v>15</v>
      </c>
      <c r="D523" t="s">
        <v>20</v>
      </c>
      <c r="E523">
        <v>59</v>
      </c>
      <c r="F523" t="str">
        <f t="shared" si="24"/>
        <v>51 to 60</v>
      </c>
      <c r="G523" t="s">
        <v>91</v>
      </c>
      <c r="H523" t="s">
        <v>59</v>
      </c>
      <c r="I523" t="s">
        <v>52</v>
      </c>
      <c r="J523">
        <v>30</v>
      </c>
      <c r="K523" t="str">
        <f t="shared" si="25"/>
        <v>21 to 30</v>
      </c>
      <c r="L523" s="1">
        <v>30</v>
      </c>
      <c r="M523" t="s">
        <v>2068</v>
      </c>
      <c r="N523" t="s">
        <v>2069</v>
      </c>
      <c r="O523">
        <v>4.3</v>
      </c>
      <c r="P523">
        <v>1</v>
      </c>
      <c r="Q523" t="s">
        <v>2076</v>
      </c>
      <c r="R523">
        <v>0.83</v>
      </c>
      <c r="S523" s="2">
        <v>0.83</v>
      </c>
      <c r="T523" s="2" t="str">
        <f t="shared" si="26"/>
        <v>81% to 90%</v>
      </c>
    </row>
    <row r="524" spans="1:20" x14ac:dyDescent="0.3">
      <c r="A524" t="s">
        <v>1111</v>
      </c>
      <c r="B524" t="s">
        <v>1112</v>
      </c>
      <c r="C524" t="s">
        <v>76</v>
      </c>
      <c r="D524" t="s">
        <v>80</v>
      </c>
      <c r="E524">
        <v>57</v>
      </c>
      <c r="F524" t="str">
        <f t="shared" si="24"/>
        <v>51 to 60</v>
      </c>
      <c r="G524" t="s">
        <v>83</v>
      </c>
      <c r="H524" t="s">
        <v>84</v>
      </c>
      <c r="I524" t="s">
        <v>47</v>
      </c>
      <c r="J524">
        <v>0</v>
      </c>
      <c r="K524" t="str">
        <f t="shared" si="25"/>
        <v>0 to 10</v>
      </c>
      <c r="L524" s="1">
        <v>50</v>
      </c>
      <c r="M524" t="s">
        <v>2071</v>
      </c>
      <c r="O524">
        <v>1.6</v>
      </c>
      <c r="P524" t="s">
        <v>53</v>
      </c>
      <c r="Q524" t="s">
        <v>2077</v>
      </c>
      <c r="R524">
        <v>0.6</v>
      </c>
      <c r="S524" s="2">
        <v>0.6</v>
      </c>
      <c r="T524" s="2" t="str">
        <f t="shared" si="26"/>
        <v>50% to 60%</v>
      </c>
    </row>
    <row r="525" spans="1:20" x14ac:dyDescent="0.3">
      <c r="A525" t="s">
        <v>1113</v>
      </c>
      <c r="B525" t="s">
        <v>1114</v>
      </c>
      <c r="C525" t="s">
        <v>76</v>
      </c>
      <c r="D525" t="s">
        <v>80</v>
      </c>
      <c r="E525">
        <v>35</v>
      </c>
      <c r="F525" t="str">
        <f t="shared" si="24"/>
        <v>31 to 40</v>
      </c>
      <c r="G525" t="s">
        <v>27</v>
      </c>
      <c r="H525" t="s">
        <v>28</v>
      </c>
      <c r="I525" t="s">
        <v>66</v>
      </c>
      <c r="J525">
        <v>10</v>
      </c>
      <c r="K525" t="str">
        <f t="shared" si="25"/>
        <v>0 to 10</v>
      </c>
      <c r="L525" s="1">
        <v>50</v>
      </c>
      <c r="M525" t="s">
        <v>2065</v>
      </c>
      <c r="N525" t="s">
        <v>2071</v>
      </c>
      <c r="O525">
        <v>0</v>
      </c>
      <c r="P525" t="s">
        <v>67</v>
      </c>
      <c r="Q525" t="s">
        <v>2077</v>
      </c>
      <c r="T525" s="2" t="str">
        <f t="shared" si="26"/>
        <v/>
      </c>
    </row>
    <row r="526" spans="1:20" x14ac:dyDescent="0.3">
      <c r="A526" t="s">
        <v>1115</v>
      </c>
      <c r="B526" t="s">
        <v>1116</v>
      </c>
      <c r="C526" t="s">
        <v>111</v>
      </c>
      <c r="D526" t="s">
        <v>80</v>
      </c>
      <c r="E526">
        <v>58</v>
      </c>
      <c r="F526" t="str">
        <f t="shared" si="24"/>
        <v>51 to 60</v>
      </c>
      <c r="G526" t="s">
        <v>16</v>
      </c>
      <c r="H526" t="s">
        <v>17</v>
      </c>
      <c r="I526" t="s">
        <v>52</v>
      </c>
      <c r="J526">
        <v>4</v>
      </c>
      <c r="K526" t="str">
        <f t="shared" si="25"/>
        <v>0 to 10</v>
      </c>
      <c r="L526" s="1">
        <v>50</v>
      </c>
      <c r="M526" t="s">
        <v>2065</v>
      </c>
      <c r="N526" t="s">
        <v>2071</v>
      </c>
      <c r="O526">
        <v>3.1</v>
      </c>
      <c r="P526">
        <v>0</v>
      </c>
      <c r="Q526" t="s">
        <v>2077</v>
      </c>
      <c r="R526">
        <v>0.9</v>
      </c>
      <c r="S526" s="2">
        <v>0.9</v>
      </c>
      <c r="T526" s="2" t="str">
        <f t="shared" si="26"/>
        <v>81% to 90%</v>
      </c>
    </row>
    <row r="527" spans="1:20" x14ac:dyDescent="0.3">
      <c r="A527" t="s">
        <v>1117</v>
      </c>
      <c r="B527" t="s">
        <v>1118</v>
      </c>
      <c r="C527" t="s">
        <v>76</v>
      </c>
      <c r="D527" t="s">
        <v>80</v>
      </c>
      <c r="E527">
        <v>54</v>
      </c>
      <c r="F527" t="str">
        <f t="shared" si="24"/>
        <v>51 to 60</v>
      </c>
      <c r="G527" t="s">
        <v>46</v>
      </c>
      <c r="H527" t="s">
        <v>17</v>
      </c>
      <c r="I527" t="s">
        <v>47</v>
      </c>
      <c r="K527" t="str">
        <f t="shared" si="25"/>
        <v/>
      </c>
      <c r="L527" s="1">
        <v>30</v>
      </c>
      <c r="M527" t="s">
        <v>2069</v>
      </c>
      <c r="O527">
        <v>2.9</v>
      </c>
      <c r="P527" t="b">
        <v>1</v>
      </c>
      <c r="Q527" t="s">
        <v>2076</v>
      </c>
      <c r="R527">
        <v>0.78</v>
      </c>
      <c r="S527" s="2">
        <v>0.78</v>
      </c>
      <c r="T527" s="2" t="str">
        <f t="shared" si="26"/>
        <v>71% to 80%</v>
      </c>
    </row>
    <row r="528" spans="1:20" x14ac:dyDescent="0.3">
      <c r="A528" t="s">
        <v>1119</v>
      </c>
      <c r="B528" t="s">
        <v>1120</v>
      </c>
      <c r="C528" t="s">
        <v>76</v>
      </c>
      <c r="D528" t="s">
        <v>80</v>
      </c>
      <c r="E528">
        <v>29</v>
      </c>
      <c r="F528" t="str">
        <f t="shared" si="24"/>
        <v>21 to 30</v>
      </c>
      <c r="G528" t="s">
        <v>27</v>
      </c>
      <c r="H528" t="s">
        <v>28</v>
      </c>
      <c r="I528" t="s">
        <v>33</v>
      </c>
      <c r="J528">
        <v>6</v>
      </c>
      <c r="K528" t="str">
        <f t="shared" si="25"/>
        <v>0 to 10</v>
      </c>
      <c r="L528" s="1">
        <v>100</v>
      </c>
      <c r="M528" t="s">
        <v>2070</v>
      </c>
      <c r="O528">
        <v>1.8</v>
      </c>
      <c r="P528" t="s">
        <v>53</v>
      </c>
      <c r="Q528" t="s">
        <v>2077</v>
      </c>
      <c r="T528" s="2" t="str">
        <f t="shared" si="26"/>
        <v/>
      </c>
    </row>
    <row r="529" spans="1:20" x14ac:dyDescent="0.3">
      <c r="A529" t="s">
        <v>1121</v>
      </c>
      <c r="B529" t="s">
        <v>1122</v>
      </c>
      <c r="C529" t="s">
        <v>111</v>
      </c>
      <c r="D529" t="s">
        <v>80</v>
      </c>
      <c r="E529">
        <v>56</v>
      </c>
      <c r="F529" t="str">
        <f t="shared" si="24"/>
        <v>51 to 60</v>
      </c>
      <c r="G529" t="s">
        <v>158</v>
      </c>
      <c r="H529" t="s">
        <v>159</v>
      </c>
      <c r="I529" t="s">
        <v>18</v>
      </c>
      <c r="J529">
        <v>3</v>
      </c>
      <c r="K529" t="str">
        <f t="shared" si="25"/>
        <v>0 to 10</v>
      </c>
      <c r="L529" s="1">
        <v>40</v>
      </c>
      <c r="M529" t="s">
        <v>2067</v>
      </c>
      <c r="O529">
        <v>4.0999999999999996</v>
      </c>
      <c r="P529" t="b">
        <v>1</v>
      </c>
      <c r="Q529" t="s">
        <v>2076</v>
      </c>
      <c r="R529">
        <v>0.89</v>
      </c>
      <c r="S529" s="2">
        <v>0.89</v>
      </c>
      <c r="T529" s="2" t="str">
        <f t="shared" si="26"/>
        <v>81% to 90%</v>
      </c>
    </row>
    <row r="530" spans="1:20" x14ac:dyDescent="0.3">
      <c r="A530" t="s">
        <v>1123</v>
      </c>
      <c r="B530" t="s">
        <v>1124</v>
      </c>
      <c r="C530" t="s">
        <v>76</v>
      </c>
      <c r="D530" t="s">
        <v>80</v>
      </c>
      <c r="E530">
        <v>47</v>
      </c>
      <c r="F530" t="str">
        <f t="shared" si="24"/>
        <v>41 to 50</v>
      </c>
      <c r="G530" t="s">
        <v>50</v>
      </c>
      <c r="H530" t="s">
        <v>51</v>
      </c>
      <c r="I530" t="s">
        <v>63</v>
      </c>
      <c r="J530">
        <v>3</v>
      </c>
      <c r="K530" t="str">
        <f t="shared" si="25"/>
        <v>0 to 10</v>
      </c>
      <c r="L530" s="1">
        <v>40</v>
      </c>
      <c r="M530" t="s">
        <v>2067</v>
      </c>
      <c r="O530">
        <v>4.4000000000000004</v>
      </c>
      <c r="P530" t="s">
        <v>19</v>
      </c>
      <c r="Q530" t="s">
        <v>2076</v>
      </c>
      <c r="R530">
        <v>0.92</v>
      </c>
      <c r="S530" s="2">
        <v>0.92</v>
      </c>
      <c r="T530" s="2" t="str">
        <f t="shared" si="26"/>
        <v>91% to 100%</v>
      </c>
    </row>
    <row r="531" spans="1:20" x14ac:dyDescent="0.3">
      <c r="A531" t="s">
        <v>1125</v>
      </c>
      <c r="B531" t="s">
        <v>1126</v>
      </c>
      <c r="C531" t="s">
        <v>76</v>
      </c>
      <c r="D531" t="s">
        <v>80</v>
      </c>
      <c r="E531">
        <v>36</v>
      </c>
      <c r="F531" t="str">
        <f t="shared" si="24"/>
        <v>31 to 40</v>
      </c>
      <c r="G531" t="s">
        <v>83</v>
      </c>
      <c r="H531" t="s">
        <v>84</v>
      </c>
      <c r="I531" t="s">
        <v>108</v>
      </c>
      <c r="J531">
        <v>8</v>
      </c>
      <c r="K531" t="str">
        <f t="shared" si="25"/>
        <v>0 to 10</v>
      </c>
      <c r="L531" s="1">
        <v>100</v>
      </c>
      <c r="M531" t="s">
        <v>2068</v>
      </c>
      <c r="N531" t="s">
        <v>2070</v>
      </c>
      <c r="O531">
        <v>2.2000000000000002</v>
      </c>
      <c r="P531">
        <v>1</v>
      </c>
      <c r="Q531" t="s">
        <v>2076</v>
      </c>
      <c r="R531">
        <v>0.97</v>
      </c>
      <c r="S531" s="2">
        <v>0.97</v>
      </c>
      <c r="T531" s="2" t="str">
        <f t="shared" si="26"/>
        <v>91% to 100%</v>
      </c>
    </row>
    <row r="532" spans="1:20" x14ac:dyDescent="0.3">
      <c r="A532" t="s">
        <v>1127</v>
      </c>
      <c r="B532" t="s">
        <v>1128</v>
      </c>
      <c r="C532" t="s">
        <v>76</v>
      </c>
      <c r="D532" t="s">
        <v>80</v>
      </c>
      <c r="E532">
        <v>37</v>
      </c>
      <c r="F532" t="str">
        <f t="shared" si="24"/>
        <v>31 to 40</v>
      </c>
      <c r="G532" t="s">
        <v>91</v>
      </c>
      <c r="H532" t="s">
        <v>59</v>
      </c>
      <c r="I532" t="s">
        <v>60</v>
      </c>
      <c r="J532">
        <v>0</v>
      </c>
      <c r="K532" t="str">
        <f t="shared" si="25"/>
        <v>0 to 10</v>
      </c>
      <c r="L532" s="1">
        <v>40</v>
      </c>
      <c r="M532" t="s">
        <v>2065</v>
      </c>
      <c r="N532" t="s">
        <v>2067</v>
      </c>
      <c r="O532">
        <v>3.7</v>
      </c>
      <c r="P532">
        <v>1</v>
      </c>
      <c r="Q532" t="s">
        <v>2076</v>
      </c>
      <c r="T532" s="2" t="str">
        <f t="shared" si="26"/>
        <v/>
      </c>
    </row>
    <row r="533" spans="1:20" x14ac:dyDescent="0.3">
      <c r="A533" t="s">
        <v>1129</v>
      </c>
      <c r="B533" t="s">
        <v>1130</v>
      </c>
      <c r="C533" t="s">
        <v>76</v>
      </c>
      <c r="D533" t="s">
        <v>80</v>
      </c>
      <c r="E533">
        <v>20</v>
      </c>
      <c r="F533" t="str">
        <f t="shared" si="24"/>
        <v>11 to 20</v>
      </c>
      <c r="G533" t="s">
        <v>37</v>
      </c>
      <c r="H533" t="s">
        <v>38</v>
      </c>
      <c r="I533" t="s">
        <v>79</v>
      </c>
      <c r="J533">
        <v>0</v>
      </c>
      <c r="K533" t="str">
        <f t="shared" si="25"/>
        <v>0 to 10</v>
      </c>
      <c r="L533" s="1">
        <v>30</v>
      </c>
      <c r="M533" t="s">
        <v>2069</v>
      </c>
      <c r="O533">
        <v>4.8</v>
      </c>
      <c r="P533" t="s">
        <v>19</v>
      </c>
      <c r="Q533" t="s">
        <v>2076</v>
      </c>
      <c r="R533">
        <v>0.68</v>
      </c>
      <c r="S533" s="2">
        <v>0.68</v>
      </c>
      <c r="T533" s="2" t="str">
        <f t="shared" si="26"/>
        <v>61% to 70 %</v>
      </c>
    </row>
    <row r="534" spans="1:20" x14ac:dyDescent="0.3">
      <c r="A534" t="s">
        <v>1131</v>
      </c>
      <c r="B534" t="s">
        <v>1132</v>
      </c>
      <c r="C534" t="s">
        <v>76</v>
      </c>
      <c r="D534" t="s">
        <v>80</v>
      </c>
      <c r="E534">
        <v>27</v>
      </c>
      <c r="F534" t="str">
        <f t="shared" si="24"/>
        <v>21 to 30</v>
      </c>
      <c r="G534" t="s">
        <v>118</v>
      </c>
      <c r="H534" t="s">
        <v>119</v>
      </c>
      <c r="I534" t="s">
        <v>52</v>
      </c>
      <c r="J534">
        <v>8</v>
      </c>
      <c r="K534" t="str">
        <f t="shared" si="25"/>
        <v>0 to 10</v>
      </c>
      <c r="L534" s="1">
        <v>50</v>
      </c>
      <c r="M534" t="s">
        <v>2065</v>
      </c>
      <c r="N534" t="s">
        <v>2071</v>
      </c>
      <c r="O534">
        <v>1.6</v>
      </c>
      <c r="P534" t="s">
        <v>19</v>
      </c>
      <c r="Q534" t="s">
        <v>2076</v>
      </c>
      <c r="T534" s="2" t="str">
        <f t="shared" si="26"/>
        <v/>
      </c>
    </row>
    <row r="535" spans="1:20" x14ac:dyDescent="0.3">
      <c r="A535" t="s">
        <v>1133</v>
      </c>
      <c r="B535" t="s">
        <v>1134</v>
      </c>
      <c r="C535" t="s">
        <v>111</v>
      </c>
      <c r="D535" t="s">
        <v>80</v>
      </c>
      <c r="E535">
        <v>59</v>
      </c>
      <c r="F535" t="str">
        <f t="shared" si="24"/>
        <v>51 to 60</v>
      </c>
      <c r="G535" t="s">
        <v>37</v>
      </c>
      <c r="H535" t="s">
        <v>38</v>
      </c>
      <c r="I535" t="s">
        <v>39</v>
      </c>
      <c r="J535">
        <v>11</v>
      </c>
      <c r="K535" t="str">
        <f t="shared" si="25"/>
        <v>11 to 20</v>
      </c>
      <c r="L535" s="1">
        <v>75</v>
      </c>
      <c r="M535" t="s">
        <v>2065</v>
      </c>
      <c r="N535" t="s">
        <v>2066</v>
      </c>
      <c r="O535">
        <v>2.2999999999999998</v>
      </c>
      <c r="P535" t="s">
        <v>96</v>
      </c>
      <c r="Q535" t="s">
        <v>2076</v>
      </c>
      <c r="R535">
        <v>0.8</v>
      </c>
      <c r="S535" s="2">
        <v>0.8</v>
      </c>
      <c r="T535" s="2" t="str">
        <f t="shared" si="26"/>
        <v>71% to 80%</v>
      </c>
    </row>
    <row r="536" spans="1:20" x14ac:dyDescent="0.3">
      <c r="A536" t="s">
        <v>1135</v>
      </c>
      <c r="B536" t="s">
        <v>1136</v>
      </c>
      <c r="C536" t="s">
        <v>76</v>
      </c>
      <c r="D536" t="s">
        <v>80</v>
      </c>
      <c r="E536">
        <v>37</v>
      </c>
      <c r="F536" t="str">
        <f t="shared" si="24"/>
        <v>31 to 40</v>
      </c>
      <c r="G536" t="s">
        <v>77</v>
      </c>
      <c r="H536" t="s">
        <v>78</v>
      </c>
      <c r="I536" t="s">
        <v>33</v>
      </c>
      <c r="J536">
        <v>15</v>
      </c>
      <c r="K536" t="str">
        <f t="shared" si="25"/>
        <v>11 to 20</v>
      </c>
      <c r="L536" s="1">
        <v>75</v>
      </c>
      <c r="M536" t="s">
        <v>2066</v>
      </c>
      <c r="P536" t="b">
        <v>0</v>
      </c>
      <c r="Q536" t="s">
        <v>2077</v>
      </c>
      <c r="R536">
        <v>0.94</v>
      </c>
      <c r="S536" s="2">
        <v>0.94</v>
      </c>
      <c r="T536" s="2" t="str">
        <f t="shared" si="26"/>
        <v>91% to 100%</v>
      </c>
    </row>
    <row r="537" spans="1:20" x14ac:dyDescent="0.3">
      <c r="A537" t="s">
        <v>1137</v>
      </c>
      <c r="B537" t="s">
        <v>1138</v>
      </c>
      <c r="C537" t="s">
        <v>76</v>
      </c>
      <c r="D537" t="s">
        <v>80</v>
      </c>
      <c r="E537">
        <v>50</v>
      </c>
      <c r="F537" t="str">
        <f t="shared" si="24"/>
        <v>41 to 50</v>
      </c>
      <c r="G537" t="s">
        <v>27</v>
      </c>
      <c r="H537" t="s">
        <v>28</v>
      </c>
      <c r="I537" t="s">
        <v>66</v>
      </c>
      <c r="J537">
        <v>10</v>
      </c>
      <c r="K537" t="str">
        <f t="shared" si="25"/>
        <v>0 to 10</v>
      </c>
      <c r="L537" s="1">
        <v>100</v>
      </c>
      <c r="M537" t="s">
        <v>2065</v>
      </c>
      <c r="N537" t="s">
        <v>2070</v>
      </c>
      <c r="O537">
        <v>4.3</v>
      </c>
      <c r="P537" t="s">
        <v>53</v>
      </c>
      <c r="Q537" t="s">
        <v>2077</v>
      </c>
      <c r="R537">
        <v>0.93</v>
      </c>
      <c r="S537" s="2">
        <v>0.93</v>
      </c>
      <c r="T537" s="2" t="str">
        <f t="shared" si="26"/>
        <v>91% to 100%</v>
      </c>
    </row>
    <row r="538" spans="1:20" x14ac:dyDescent="0.3">
      <c r="A538" t="s">
        <v>1139</v>
      </c>
      <c r="B538" t="s">
        <v>1140</v>
      </c>
      <c r="C538" t="s">
        <v>111</v>
      </c>
      <c r="D538" t="s">
        <v>80</v>
      </c>
      <c r="E538">
        <v>34</v>
      </c>
      <c r="F538" t="str">
        <f t="shared" si="24"/>
        <v>31 to 40</v>
      </c>
      <c r="G538" t="s">
        <v>16</v>
      </c>
      <c r="H538" t="s">
        <v>17</v>
      </c>
      <c r="I538" t="s">
        <v>52</v>
      </c>
      <c r="J538">
        <v>11</v>
      </c>
      <c r="K538" t="str">
        <f t="shared" si="25"/>
        <v>11 to 20</v>
      </c>
      <c r="L538" s="1">
        <v>50</v>
      </c>
      <c r="M538" t="s">
        <v>2071</v>
      </c>
      <c r="O538">
        <v>3.3</v>
      </c>
      <c r="P538" t="s">
        <v>19</v>
      </c>
      <c r="Q538" t="s">
        <v>2076</v>
      </c>
      <c r="R538">
        <v>0.76</v>
      </c>
      <c r="S538" s="2">
        <v>0.76</v>
      </c>
      <c r="T538" s="2" t="str">
        <f t="shared" si="26"/>
        <v>71% to 80%</v>
      </c>
    </row>
    <row r="539" spans="1:20" x14ac:dyDescent="0.3">
      <c r="A539" t="s">
        <v>1141</v>
      </c>
      <c r="B539" t="s">
        <v>1142</v>
      </c>
      <c r="C539" t="s">
        <v>76</v>
      </c>
      <c r="D539" t="s">
        <v>80</v>
      </c>
      <c r="E539">
        <v>57</v>
      </c>
      <c r="F539" t="str">
        <f t="shared" si="24"/>
        <v>51 to 60</v>
      </c>
      <c r="G539" t="s">
        <v>158</v>
      </c>
      <c r="H539" t="s">
        <v>159</v>
      </c>
      <c r="I539" t="s">
        <v>18</v>
      </c>
      <c r="K539" t="str">
        <f t="shared" si="25"/>
        <v/>
      </c>
      <c r="L539" s="1">
        <v>75</v>
      </c>
      <c r="M539" t="s">
        <v>2066</v>
      </c>
      <c r="O539">
        <v>4.8</v>
      </c>
      <c r="P539">
        <v>1</v>
      </c>
      <c r="Q539" t="s">
        <v>2076</v>
      </c>
      <c r="T539" s="2" t="str">
        <f t="shared" si="26"/>
        <v/>
      </c>
    </row>
    <row r="540" spans="1:20" x14ac:dyDescent="0.3">
      <c r="A540" t="s">
        <v>1143</v>
      </c>
      <c r="B540" t="s">
        <v>1144</v>
      </c>
      <c r="C540" t="s">
        <v>36</v>
      </c>
      <c r="D540" t="s">
        <v>20</v>
      </c>
      <c r="E540">
        <v>59</v>
      </c>
      <c r="F540" t="str">
        <f t="shared" si="24"/>
        <v>51 to 60</v>
      </c>
      <c r="G540" t="s">
        <v>155</v>
      </c>
      <c r="H540" t="s">
        <v>17</v>
      </c>
      <c r="I540" t="s">
        <v>18</v>
      </c>
      <c r="J540">
        <v>22</v>
      </c>
      <c r="K540" t="str">
        <f t="shared" si="25"/>
        <v>21 to 30</v>
      </c>
      <c r="L540" s="1">
        <v>20</v>
      </c>
      <c r="M540" t="s">
        <v>2068</v>
      </c>
      <c r="N540" t="s">
        <v>2072</v>
      </c>
      <c r="O540">
        <v>3.6</v>
      </c>
      <c r="P540" t="s">
        <v>53</v>
      </c>
      <c r="Q540" t="s">
        <v>2077</v>
      </c>
      <c r="R540">
        <v>0.63</v>
      </c>
      <c r="S540" s="2">
        <v>0.63</v>
      </c>
      <c r="T540" s="2" t="str">
        <f t="shared" si="26"/>
        <v>61% to 70 %</v>
      </c>
    </row>
    <row r="541" spans="1:20" x14ac:dyDescent="0.3">
      <c r="A541" t="s">
        <v>1145</v>
      </c>
      <c r="B541" t="s">
        <v>1146</v>
      </c>
      <c r="C541" t="s">
        <v>15</v>
      </c>
      <c r="D541" t="s">
        <v>20</v>
      </c>
      <c r="E541">
        <v>26</v>
      </c>
      <c r="F541" t="str">
        <f t="shared" si="24"/>
        <v>21 to 30</v>
      </c>
      <c r="G541" t="s">
        <v>101</v>
      </c>
      <c r="H541" t="s">
        <v>59</v>
      </c>
      <c r="I541" t="s">
        <v>33</v>
      </c>
      <c r="J541">
        <v>5</v>
      </c>
      <c r="K541" t="str">
        <f t="shared" si="25"/>
        <v>0 to 10</v>
      </c>
      <c r="L541" s="1">
        <v>100</v>
      </c>
      <c r="M541" t="s">
        <v>2065</v>
      </c>
      <c r="N541" t="s">
        <v>2070</v>
      </c>
      <c r="O541">
        <v>2.5</v>
      </c>
      <c r="P541" t="b">
        <v>1</v>
      </c>
      <c r="Q541" t="s">
        <v>2076</v>
      </c>
      <c r="R541">
        <v>0.93</v>
      </c>
      <c r="S541" s="2">
        <v>0.93</v>
      </c>
      <c r="T541" s="2" t="str">
        <f t="shared" si="26"/>
        <v>91% to 100%</v>
      </c>
    </row>
    <row r="542" spans="1:20" x14ac:dyDescent="0.3">
      <c r="A542" t="s">
        <v>1147</v>
      </c>
      <c r="B542" t="s">
        <v>1148</v>
      </c>
      <c r="C542" t="s">
        <v>36</v>
      </c>
      <c r="D542" t="s">
        <v>20</v>
      </c>
      <c r="E542">
        <v>25</v>
      </c>
      <c r="F542" t="str">
        <f t="shared" si="24"/>
        <v>21 to 30</v>
      </c>
      <c r="G542" t="s">
        <v>104</v>
      </c>
      <c r="H542" t="s">
        <v>105</v>
      </c>
      <c r="I542" t="s">
        <v>52</v>
      </c>
      <c r="J542">
        <v>0</v>
      </c>
      <c r="K542" t="str">
        <f t="shared" si="25"/>
        <v>0 to 10</v>
      </c>
      <c r="L542" s="1">
        <v>50</v>
      </c>
      <c r="M542" t="s">
        <v>2071</v>
      </c>
      <c r="O542">
        <v>2.9</v>
      </c>
      <c r="P542" t="s">
        <v>19</v>
      </c>
      <c r="Q542" t="s">
        <v>2076</v>
      </c>
      <c r="R542">
        <v>0.65</v>
      </c>
      <c r="S542" s="2">
        <v>0.65</v>
      </c>
      <c r="T542" s="2" t="str">
        <f t="shared" si="26"/>
        <v>61% to 70 %</v>
      </c>
    </row>
    <row r="543" spans="1:20" x14ac:dyDescent="0.3">
      <c r="A543" t="s">
        <v>1149</v>
      </c>
      <c r="B543" t="s">
        <v>1150</v>
      </c>
      <c r="C543" t="s">
        <v>111</v>
      </c>
      <c r="D543" t="s">
        <v>80</v>
      </c>
      <c r="E543">
        <v>28</v>
      </c>
      <c r="F543" t="str">
        <f t="shared" si="24"/>
        <v>21 to 30</v>
      </c>
      <c r="G543" t="s">
        <v>42</v>
      </c>
      <c r="H543" t="s">
        <v>43</v>
      </c>
      <c r="I543" t="s">
        <v>79</v>
      </c>
      <c r="J543">
        <v>2</v>
      </c>
      <c r="K543" t="str">
        <f t="shared" si="25"/>
        <v>0 to 10</v>
      </c>
      <c r="L543" s="1">
        <v>50</v>
      </c>
      <c r="M543" t="s">
        <v>2068</v>
      </c>
      <c r="N543" t="s">
        <v>2071</v>
      </c>
      <c r="P543">
        <v>1</v>
      </c>
      <c r="Q543" t="s">
        <v>2076</v>
      </c>
      <c r="R543">
        <v>0.85</v>
      </c>
      <c r="S543" s="2">
        <v>0.85</v>
      </c>
      <c r="T543" s="2" t="str">
        <f t="shared" si="26"/>
        <v>81% to 90%</v>
      </c>
    </row>
    <row r="544" spans="1:20" x14ac:dyDescent="0.3">
      <c r="A544" t="s">
        <v>1151</v>
      </c>
      <c r="B544" t="s">
        <v>1152</v>
      </c>
      <c r="C544" t="s">
        <v>111</v>
      </c>
      <c r="D544" t="s">
        <v>80</v>
      </c>
      <c r="E544">
        <v>49</v>
      </c>
      <c r="F544" t="str">
        <f t="shared" si="24"/>
        <v>41 to 50</v>
      </c>
      <c r="G544" t="s">
        <v>31</v>
      </c>
      <c r="H544" t="s">
        <v>32</v>
      </c>
      <c r="I544" t="s">
        <v>108</v>
      </c>
      <c r="J544">
        <v>22</v>
      </c>
      <c r="K544" t="str">
        <f t="shared" si="25"/>
        <v>21 to 30</v>
      </c>
      <c r="L544" s="1">
        <v>75</v>
      </c>
      <c r="M544" t="s">
        <v>2066</v>
      </c>
      <c r="O544">
        <v>0</v>
      </c>
      <c r="P544" t="b">
        <v>1</v>
      </c>
      <c r="Q544" t="s">
        <v>2076</v>
      </c>
      <c r="T544" s="2" t="str">
        <f t="shared" si="26"/>
        <v/>
      </c>
    </row>
    <row r="545" spans="1:21" x14ac:dyDescent="0.3">
      <c r="A545" t="s">
        <v>1153</v>
      </c>
      <c r="B545" t="s">
        <v>1154</v>
      </c>
      <c r="C545" t="s">
        <v>111</v>
      </c>
      <c r="D545" t="s">
        <v>80</v>
      </c>
      <c r="E545">
        <v>56</v>
      </c>
      <c r="F545" t="str">
        <f t="shared" si="24"/>
        <v>51 to 60</v>
      </c>
      <c r="G545" t="s">
        <v>158</v>
      </c>
      <c r="H545" t="s">
        <v>159</v>
      </c>
      <c r="I545" t="s">
        <v>63</v>
      </c>
      <c r="J545">
        <v>35</v>
      </c>
      <c r="K545" t="str">
        <f t="shared" si="25"/>
        <v>31 to 40</v>
      </c>
      <c r="L545" s="1">
        <v>40</v>
      </c>
      <c r="M545" t="s">
        <v>2065</v>
      </c>
      <c r="N545" t="s">
        <v>2067</v>
      </c>
      <c r="O545">
        <v>2.7</v>
      </c>
      <c r="P545" t="b">
        <v>1</v>
      </c>
      <c r="Q545" t="s">
        <v>2076</v>
      </c>
      <c r="R545">
        <v>0.82</v>
      </c>
      <c r="S545" s="2">
        <v>0.82</v>
      </c>
      <c r="T545" s="2" t="str">
        <f t="shared" si="26"/>
        <v>81% to 90%</v>
      </c>
    </row>
    <row r="546" spans="1:21" x14ac:dyDescent="0.3">
      <c r="A546" t="s">
        <v>1155</v>
      </c>
      <c r="B546" t="s">
        <v>1156</v>
      </c>
      <c r="C546" t="s">
        <v>111</v>
      </c>
      <c r="D546" t="s">
        <v>80</v>
      </c>
      <c r="E546">
        <v>48</v>
      </c>
      <c r="F546" t="str">
        <f t="shared" si="24"/>
        <v>41 to 50</v>
      </c>
      <c r="G546" t="s">
        <v>23</v>
      </c>
      <c r="H546" t="s">
        <v>24</v>
      </c>
      <c r="I546" t="s">
        <v>52</v>
      </c>
      <c r="J546">
        <v>6</v>
      </c>
      <c r="K546" t="str">
        <f t="shared" si="25"/>
        <v>0 to 10</v>
      </c>
      <c r="L546" s="1">
        <v>30</v>
      </c>
      <c r="M546" t="s">
        <v>2069</v>
      </c>
      <c r="P546" t="s">
        <v>53</v>
      </c>
      <c r="Q546" t="s">
        <v>2077</v>
      </c>
      <c r="R546">
        <v>0.96</v>
      </c>
      <c r="S546" s="2">
        <v>0.96</v>
      </c>
      <c r="T546" s="2" t="str">
        <f t="shared" si="26"/>
        <v>91% to 100%</v>
      </c>
    </row>
    <row r="547" spans="1:21" x14ac:dyDescent="0.3">
      <c r="A547" t="s">
        <v>1157</v>
      </c>
      <c r="B547" t="s">
        <v>1158</v>
      </c>
      <c r="C547" t="s">
        <v>76</v>
      </c>
      <c r="D547" t="s">
        <v>80</v>
      </c>
      <c r="E547">
        <v>20</v>
      </c>
      <c r="F547" t="str">
        <f t="shared" si="24"/>
        <v>11 to 20</v>
      </c>
      <c r="G547" t="s">
        <v>16</v>
      </c>
      <c r="H547" t="s">
        <v>17</v>
      </c>
      <c r="I547" t="s">
        <v>108</v>
      </c>
      <c r="J547">
        <v>1</v>
      </c>
      <c r="K547" t="str">
        <f t="shared" si="25"/>
        <v>0 to 10</v>
      </c>
      <c r="O547">
        <v>3.5</v>
      </c>
      <c r="P547">
        <v>0</v>
      </c>
      <c r="Q547" t="s">
        <v>2077</v>
      </c>
      <c r="R547">
        <v>0.71</v>
      </c>
      <c r="S547" s="2">
        <v>0.71</v>
      </c>
      <c r="T547" s="2" t="str">
        <f t="shared" si="26"/>
        <v>71% to 80%</v>
      </c>
    </row>
    <row r="548" spans="1:21" x14ac:dyDescent="0.3">
      <c r="A548" t="s">
        <v>1159</v>
      </c>
      <c r="B548" t="s">
        <v>1160</v>
      </c>
      <c r="C548" t="s">
        <v>76</v>
      </c>
      <c r="D548" t="s">
        <v>80</v>
      </c>
      <c r="E548">
        <v>35</v>
      </c>
      <c r="F548" t="str">
        <f t="shared" si="24"/>
        <v>31 to 40</v>
      </c>
      <c r="G548" t="s">
        <v>58</v>
      </c>
      <c r="H548" t="s">
        <v>59</v>
      </c>
      <c r="I548" t="s">
        <v>18</v>
      </c>
      <c r="J548">
        <v>0</v>
      </c>
      <c r="K548" t="str">
        <f t="shared" si="25"/>
        <v>0 to 10</v>
      </c>
      <c r="P548" t="s">
        <v>96</v>
      </c>
      <c r="Q548" t="s">
        <v>2076</v>
      </c>
      <c r="R548">
        <v>85</v>
      </c>
      <c r="S548" s="2">
        <v>0.85</v>
      </c>
      <c r="T548" s="2" t="str">
        <f t="shared" si="26"/>
        <v>81% to 90%</v>
      </c>
      <c r="U548">
        <v>0.85</v>
      </c>
    </row>
    <row r="549" spans="1:21" x14ac:dyDescent="0.3">
      <c r="A549" t="s">
        <v>1161</v>
      </c>
      <c r="B549" t="s">
        <v>1162</v>
      </c>
      <c r="C549" t="s">
        <v>15</v>
      </c>
      <c r="D549" t="s">
        <v>20</v>
      </c>
      <c r="E549">
        <v>52</v>
      </c>
      <c r="F549" t="str">
        <f t="shared" si="24"/>
        <v>51 to 60</v>
      </c>
      <c r="G549" t="s">
        <v>58</v>
      </c>
      <c r="H549" t="s">
        <v>59</v>
      </c>
      <c r="I549" t="s">
        <v>33</v>
      </c>
      <c r="J549">
        <v>21</v>
      </c>
      <c r="K549" t="str">
        <f t="shared" si="25"/>
        <v>21 to 30</v>
      </c>
      <c r="L549" s="1">
        <v>75</v>
      </c>
      <c r="M549" t="s">
        <v>2068</v>
      </c>
      <c r="N549" t="s">
        <v>2066</v>
      </c>
      <c r="O549">
        <v>2.2000000000000002</v>
      </c>
      <c r="P549">
        <v>1</v>
      </c>
      <c r="Q549" t="s">
        <v>2076</v>
      </c>
      <c r="R549">
        <v>0.66</v>
      </c>
      <c r="S549" s="2">
        <v>0.66</v>
      </c>
      <c r="T549" s="2" t="str">
        <f t="shared" si="26"/>
        <v>61% to 70 %</v>
      </c>
    </row>
    <row r="550" spans="1:21" x14ac:dyDescent="0.3">
      <c r="A550" t="s">
        <v>1163</v>
      </c>
      <c r="B550" t="s">
        <v>1164</v>
      </c>
      <c r="C550" t="s">
        <v>36</v>
      </c>
      <c r="D550" t="s">
        <v>20</v>
      </c>
      <c r="E550">
        <v>24</v>
      </c>
      <c r="F550" t="str">
        <f t="shared" si="24"/>
        <v>21 to 30</v>
      </c>
      <c r="G550" t="s">
        <v>188</v>
      </c>
      <c r="H550" t="s">
        <v>189</v>
      </c>
      <c r="I550" t="s">
        <v>33</v>
      </c>
      <c r="J550">
        <v>2</v>
      </c>
      <c r="K550" t="str">
        <f t="shared" si="25"/>
        <v>0 to 10</v>
      </c>
      <c r="L550" s="1">
        <v>100</v>
      </c>
      <c r="M550" t="s">
        <v>2065</v>
      </c>
      <c r="N550" t="s">
        <v>2070</v>
      </c>
      <c r="O550">
        <v>3.8</v>
      </c>
      <c r="P550">
        <v>1</v>
      </c>
      <c r="Q550" t="s">
        <v>2076</v>
      </c>
      <c r="R550">
        <v>0.71</v>
      </c>
      <c r="S550" s="2">
        <v>0.71</v>
      </c>
      <c r="T550" s="2" t="str">
        <f t="shared" si="26"/>
        <v>71% to 80%</v>
      </c>
    </row>
    <row r="551" spans="1:21" x14ac:dyDescent="0.3">
      <c r="A551" t="s">
        <v>1165</v>
      </c>
      <c r="B551" t="s">
        <v>1166</v>
      </c>
      <c r="C551" t="s">
        <v>15</v>
      </c>
      <c r="D551" t="s">
        <v>20</v>
      </c>
      <c r="E551">
        <v>47</v>
      </c>
      <c r="F551" t="str">
        <f t="shared" si="24"/>
        <v>41 to 50</v>
      </c>
      <c r="G551" t="s">
        <v>87</v>
      </c>
      <c r="H551" t="s">
        <v>88</v>
      </c>
      <c r="I551" t="s">
        <v>66</v>
      </c>
      <c r="J551">
        <v>28</v>
      </c>
      <c r="K551" t="str">
        <f t="shared" si="25"/>
        <v>21 to 30</v>
      </c>
      <c r="L551" s="1">
        <v>50</v>
      </c>
      <c r="M551" t="s">
        <v>2068</v>
      </c>
      <c r="N551" t="s">
        <v>2071</v>
      </c>
      <c r="O551">
        <v>2.9</v>
      </c>
      <c r="P551" t="b">
        <v>1</v>
      </c>
      <c r="Q551" t="s">
        <v>2076</v>
      </c>
      <c r="T551" s="2" t="str">
        <f t="shared" si="26"/>
        <v/>
      </c>
    </row>
    <row r="552" spans="1:21" x14ac:dyDescent="0.3">
      <c r="A552" t="s">
        <v>1167</v>
      </c>
      <c r="B552" t="s">
        <v>1168</v>
      </c>
      <c r="C552" t="s">
        <v>15</v>
      </c>
      <c r="D552" t="s">
        <v>20</v>
      </c>
      <c r="E552">
        <v>30</v>
      </c>
      <c r="F552" t="str">
        <f t="shared" si="24"/>
        <v>21 to 30</v>
      </c>
      <c r="G552" t="s">
        <v>77</v>
      </c>
      <c r="H552" t="s">
        <v>78</v>
      </c>
      <c r="I552" t="s">
        <v>18</v>
      </c>
      <c r="J552">
        <v>5</v>
      </c>
      <c r="K552" t="str">
        <f t="shared" si="25"/>
        <v>0 to 10</v>
      </c>
      <c r="L552" s="1">
        <v>30</v>
      </c>
      <c r="M552" t="s">
        <v>2065</v>
      </c>
      <c r="N552" t="s">
        <v>2069</v>
      </c>
      <c r="O552">
        <v>4.8</v>
      </c>
      <c r="P552" t="s">
        <v>53</v>
      </c>
      <c r="Q552" t="s">
        <v>2077</v>
      </c>
      <c r="T552" s="2" t="str">
        <f t="shared" si="26"/>
        <v/>
      </c>
    </row>
    <row r="553" spans="1:21" x14ac:dyDescent="0.3">
      <c r="A553" t="s">
        <v>1169</v>
      </c>
      <c r="B553" t="s">
        <v>1170</v>
      </c>
      <c r="C553" t="s">
        <v>15</v>
      </c>
      <c r="D553" t="s">
        <v>20</v>
      </c>
      <c r="E553">
        <v>24</v>
      </c>
      <c r="F553" t="str">
        <f t="shared" si="24"/>
        <v>21 to 30</v>
      </c>
      <c r="G553" t="s">
        <v>27</v>
      </c>
      <c r="H553" t="s">
        <v>28</v>
      </c>
      <c r="I553" t="s">
        <v>60</v>
      </c>
      <c r="J553">
        <v>3</v>
      </c>
      <c r="K553" t="str">
        <f t="shared" si="25"/>
        <v>0 to 10</v>
      </c>
      <c r="L553" s="1">
        <v>30</v>
      </c>
      <c r="M553" t="s">
        <v>2065</v>
      </c>
      <c r="N553" t="s">
        <v>2069</v>
      </c>
      <c r="O553">
        <v>2.2999999999999998</v>
      </c>
      <c r="P553" t="b">
        <v>0</v>
      </c>
      <c r="Q553" t="s">
        <v>2077</v>
      </c>
      <c r="R553">
        <v>0.66</v>
      </c>
      <c r="S553" s="2">
        <v>0.66</v>
      </c>
      <c r="T553" s="2" t="str">
        <f t="shared" si="26"/>
        <v>61% to 70 %</v>
      </c>
    </row>
    <row r="554" spans="1:21" x14ac:dyDescent="0.3">
      <c r="A554" t="s">
        <v>1171</v>
      </c>
      <c r="B554" t="s">
        <v>1172</v>
      </c>
      <c r="C554" t="s">
        <v>36</v>
      </c>
      <c r="D554" t="s">
        <v>20</v>
      </c>
      <c r="E554">
        <v>58</v>
      </c>
      <c r="F554" t="str">
        <f t="shared" si="24"/>
        <v>51 to 60</v>
      </c>
      <c r="G554" t="s">
        <v>104</v>
      </c>
      <c r="H554" t="s">
        <v>105</v>
      </c>
      <c r="I554" t="s">
        <v>18</v>
      </c>
      <c r="J554">
        <v>33</v>
      </c>
      <c r="K554" t="str">
        <f t="shared" si="25"/>
        <v>31 to 40</v>
      </c>
      <c r="O554">
        <v>4.0999999999999996</v>
      </c>
      <c r="P554" t="s">
        <v>96</v>
      </c>
      <c r="Q554" t="s">
        <v>2076</v>
      </c>
      <c r="R554">
        <v>0.83</v>
      </c>
      <c r="S554" s="2">
        <v>0.83</v>
      </c>
      <c r="T554" s="2" t="str">
        <f t="shared" si="26"/>
        <v>81% to 90%</v>
      </c>
    </row>
    <row r="555" spans="1:21" x14ac:dyDescent="0.3">
      <c r="A555" t="s">
        <v>1173</v>
      </c>
      <c r="B555" t="s">
        <v>1174</v>
      </c>
      <c r="C555" t="s">
        <v>36</v>
      </c>
      <c r="D555" t="s">
        <v>20</v>
      </c>
      <c r="E555">
        <v>41</v>
      </c>
      <c r="F555" t="str">
        <f t="shared" si="24"/>
        <v>41 to 50</v>
      </c>
      <c r="G555" t="s">
        <v>91</v>
      </c>
      <c r="H555" t="s">
        <v>59</v>
      </c>
      <c r="I555" t="s">
        <v>60</v>
      </c>
      <c r="J555">
        <v>11</v>
      </c>
      <c r="K555" t="str">
        <f t="shared" si="25"/>
        <v>11 to 20</v>
      </c>
      <c r="L555" s="1">
        <v>50</v>
      </c>
      <c r="M555" t="s">
        <v>2071</v>
      </c>
      <c r="O555">
        <v>3.5</v>
      </c>
      <c r="P555">
        <v>1</v>
      </c>
      <c r="Q555" t="s">
        <v>2076</v>
      </c>
      <c r="R555">
        <v>0.68</v>
      </c>
      <c r="S555" s="2">
        <v>0.68</v>
      </c>
      <c r="T555" s="2" t="str">
        <f t="shared" si="26"/>
        <v>61% to 70 %</v>
      </c>
    </row>
    <row r="556" spans="1:21" x14ac:dyDescent="0.3">
      <c r="A556" t="s">
        <v>1175</v>
      </c>
      <c r="B556" t="s">
        <v>1176</v>
      </c>
      <c r="C556" t="s">
        <v>15</v>
      </c>
      <c r="D556" t="s">
        <v>20</v>
      </c>
      <c r="E556">
        <v>41</v>
      </c>
      <c r="F556" t="str">
        <f t="shared" si="24"/>
        <v>41 to 50</v>
      </c>
      <c r="G556" t="s">
        <v>37</v>
      </c>
      <c r="H556" t="s">
        <v>38</v>
      </c>
      <c r="I556" t="s">
        <v>66</v>
      </c>
      <c r="J556">
        <v>12</v>
      </c>
      <c r="K556" t="str">
        <f t="shared" si="25"/>
        <v>11 to 20</v>
      </c>
      <c r="O556">
        <v>1.3</v>
      </c>
      <c r="P556">
        <v>0</v>
      </c>
      <c r="Q556" t="s">
        <v>2077</v>
      </c>
      <c r="R556">
        <v>0.85</v>
      </c>
      <c r="S556" s="2">
        <v>0.85</v>
      </c>
      <c r="T556" s="2" t="str">
        <f t="shared" si="26"/>
        <v>81% to 90%</v>
      </c>
    </row>
    <row r="557" spans="1:21" x14ac:dyDescent="0.3">
      <c r="A557" t="s">
        <v>1177</v>
      </c>
      <c r="B557" t="s">
        <v>1178</v>
      </c>
      <c r="C557" t="s">
        <v>15</v>
      </c>
      <c r="D557" t="s">
        <v>20</v>
      </c>
      <c r="E557">
        <v>41</v>
      </c>
      <c r="F557" t="str">
        <f t="shared" si="24"/>
        <v>41 to 50</v>
      </c>
      <c r="G557" t="s">
        <v>158</v>
      </c>
      <c r="H557" t="s">
        <v>159</v>
      </c>
      <c r="I557" t="s">
        <v>33</v>
      </c>
      <c r="J557">
        <v>0</v>
      </c>
      <c r="K557" t="str">
        <f t="shared" si="25"/>
        <v>0 to 10</v>
      </c>
      <c r="L557" s="1">
        <v>40</v>
      </c>
      <c r="M557" t="s">
        <v>2068</v>
      </c>
      <c r="N557" t="s">
        <v>2067</v>
      </c>
      <c r="O557">
        <v>4.5</v>
      </c>
      <c r="P557" t="s">
        <v>53</v>
      </c>
      <c r="Q557" t="s">
        <v>2077</v>
      </c>
      <c r="R557">
        <v>0.68</v>
      </c>
      <c r="S557" s="2">
        <v>0.68</v>
      </c>
      <c r="T557" s="2" t="str">
        <f t="shared" si="26"/>
        <v>61% to 70 %</v>
      </c>
    </row>
    <row r="558" spans="1:21" x14ac:dyDescent="0.3">
      <c r="A558" t="s">
        <v>1179</v>
      </c>
      <c r="B558" t="s">
        <v>1180</v>
      </c>
      <c r="C558" t="s">
        <v>15</v>
      </c>
      <c r="D558" t="s">
        <v>20</v>
      </c>
      <c r="E558">
        <v>30</v>
      </c>
      <c r="F558" t="str">
        <f t="shared" si="24"/>
        <v>21 to 30</v>
      </c>
      <c r="G558" t="s">
        <v>37</v>
      </c>
      <c r="H558" t="s">
        <v>38</v>
      </c>
      <c r="I558" t="s">
        <v>52</v>
      </c>
      <c r="J558">
        <v>3</v>
      </c>
      <c r="K558" t="str">
        <f t="shared" si="25"/>
        <v>0 to 10</v>
      </c>
      <c r="L558" s="1">
        <v>30</v>
      </c>
      <c r="M558" t="s">
        <v>2065</v>
      </c>
      <c r="N558" t="s">
        <v>2069</v>
      </c>
      <c r="O558">
        <v>1.1000000000000001</v>
      </c>
      <c r="P558" t="b">
        <v>1</v>
      </c>
      <c r="Q558" t="s">
        <v>2076</v>
      </c>
      <c r="T558" s="2" t="str">
        <f t="shared" si="26"/>
        <v/>
      </c>
    </row>
    <row r="559" spans="1:21" x14ac:dyDescent="0.3">
      <c r="A559" t="s">
        <v>1181</v>
      </c>
      <c r="B559" t="s">
        <v>1182</v>
      </c>
      <c r="C559" t="s">
        <v>76</v>
      </c>
      <c r="D559" t="s">
        <v>80</v>
      </c>
      <c r="E559">
        <v>53</v>
      </c>
      <c r="F559" t="str">
        <f t="shared" si="24"/>
        <v>51 to 60</v>
      </c>
      <c r="G559" t="s">
        <v>46</v>
      </c>
      <c r="H559" t="s">
        <v>17</v>
      </c>
      <c r="I559" t="s">
        <v>52</v>
      </c>
      <c r="J559">
        <v>19</v>
      </c>
      <c r="K559" t="str">
        <f t="shared" si="25"/>
        <v>11 to 20</v>
      </c>
      <c r="L559" s="1">
        <v>20</v>
      </c>
      <c r="M559" t="s">
        <v>2068</v>
      </c>
      <c r="N559" t="s">
        <v>2072</v>
      </c>
      <c r="O559">
        <v>1.3</v>
      </c>
      <c r="P559">
        <v>0</v>
      </c>
      <c r="Q559" t="s">
        <v>2077</v>
      </c>
      <c r="T559" s="2" t="str">
        <f t="shared" si="26"/>
        <v/>
      </c>
    </row>
    <row r="560" spans="1:21" x14ac:dyDescent="0.3">
      <c r="A560" t="s">
        <v>1183</v>
      </c>
      <c r="B560" t="s">
        <v>1184</v>
      </c>
      <c r="C560" t="s">
        <v>111</v>
      </c>
      <c r="D560" t="s">
        <v>80</v>
      </c>
      <c r="E560">
        <v>35</v>
      </c>
      <c r="F560" t="str">
        <f t="shared" si="24"/>
        <v>31 to 40</v>
      </c>
      <c r="G560" t="s">
        <v>27</v>
      </c>
      <c r="H560" t="s">
        <v>28</v>
      </c>
      <c r="I560" t="s">
        <v>18</v>
      </c>
      <c r="J560">
        <v>0</v>
      </c>
      <c r="K560" t="str">
        <f t="shared" si="25"/>
        <v>0 to 10</v>
      </c>
      <c r="L560" s="1">
        <v>30</v>
      </c>
      <c r="M560" t="s">
        <v>2068</v>
      </c>
      <c r="N560" t="s">
        <v>2069</v>
      </c>
      <c r="O560">
        <v>4.5999999999999996</v>
      </c>
      <c r="R560">
        <v>0.97</v>
      </c>
      <c r="S560" s="2">
        <v>0.97</v>
      </c>
      <c r="T560" s="2" t="str">
        <f t="shared" si="26"/>
        <v>91% to 100%</v>
      </c>
    </row>
    <row r="561" spans="1:21" x14ac:dyDescent="0.3">
      <c r="A561" t="s">
        <v>1185</v>
      </c>
      <c r="B561" t="s">
        <v>1186</v>
      </c>
      <c r="C561" t="s">
        <v>111</v>
      </c>
      <c r="D561" t="s">
        <v>80</v>
      </c>
      <c r="E561">
        <v>42</v>
      </c>
      <c r="F561" t="str">
        <f t="shared" si="24"/>
        <v>41 to 50</v>
      </c>
      <c r="G561" t="s">
        <v>87</v>
      </c>
      <c r="H561" t="s">
        <v>88</v>
      </c>
      <c r="I561" t="s">
        <v>52</v>
      </c>
      <c r="J561">
        <v>10</v>
      </c>
      <c r="K561" t="str">
        <f t="shared" si="25"/>
        <v>0 to 10</v>
      </c>
      <c r="L561" s="1">
        <v>100</v>
      </c>
      <c r="M561" t="s">
        <v>2070</v>
      </c>
      <c r="O561">
        <v>3.7</v>
      </c>
      <c r="P561" t="s">
        <v>96</v>
      </c>
      <c r="Q561" t="s">
        <v>2076</v>
      </c>
      <c r="R561">
        <v>0.94</v>
      </c>
      <c r="S561" s="2">
        <v>0.94</v>
      </c>
      <c r="T561" s="2" t="str">
        <f t="shared" si="26"/>
        <v>91% to 100%</v>
      </c>
    </row>
    <row r="562" spans="1:21" x14ac:dyDescent="0.3">
      <c r="A562" t="s">
        <v>1187</v>
      </c>
      <c r="B562" t="s">
        <v>1188</v>
      </c>
      <c r="C562" t="s">
        <v>76</v>
      </c>
      <c r="D562" t="s">
        <v>80</v>
      </c>
      <c r="E562">
        <v>48</v>
      </c>
      <c r="F562" t="str">
        <f t="shared" si="24"/>
        <v>41 to 50</v>
      </c>
      <c r="G562" t="s">
        <v>87</v>
      </c>
      <c r="H562" t="s">
        <v>88</v>
      </c>
      <c r="I562" t="s">
        <v>79</v>
      </c>
      <c r="J562">
        <v>21</v>
      </c>
      <c r="K562" t="str">
        <f t="shared" si="25"/>
        <v>21 to 30</v>
      </c>
      <c r="L562" s="1">
        <v>30</v>
      </c>
      <c r="M562" t="s">
        <v>2069</v>
      </c>
      <c r="O562">
        <v>1.6</v>
      </c>
      <c r="P562" t="s">
        <v>96</v>
      </c>
      <c r="Q562" t="s">
        <v>2076</v>
      </c>
      <c r="R562">
        <v>0.67</v>
      </c>
      <c r="S562" s="2">
        <v>0.67</v>
      </c>
      <c r="T562" s="2" t="str">
        <f t="shared" si="26"/>
        <v>61% to 70 %</v>
      </c>
    </row>
    <row r="563" spans="1:21" x14ac:dyDescent="0.3">
      <c r="A563" t="s">
        <v>1189</v>
      </c>
      <c r="B563" t="s">
        <v>1190</v>
      </c>
      <c r="C563" t="s">
        <v>76</v>
      </c>
      <c r="D563" t="s">
        <v>80</v>
      </c>
      <c r="E563">
        <v>46</v>
      </c>
      <c r="F563" t="str">
        <f t="shared" si="24"/>
        <v>41 to 50</v>
      </c>
      <c r="G563" t="s">
        <v>139</v>
      </c>
      <c r="H563" t="s">
        <v>59</v>
      </c>
      <c r="I563" t="s">
        <v>108</v>
      </c>
      <c r="J563">
        <v>9</v>
      </c>
      <c r="K563" t="str">
        <f t="shared" si="25"/>
        <v>0 to 10</v>
      </c>
      <c r="L563" s="1">
        <v>30</v>
      </c>
      <c r="M563" t="s">
        <v>2065</v>
      </c>
      <c r="N563" t="s">
        <v>2069</v>
      </c>
      <c r="O563">
        <v>3.5</v>
      </c>
      <c r="R563">
        <v>72</v>
      </c>
      <c r="S563" s="2">
        <v>0.72</v>
      </c>
      <c r="T563" s="2" t="str">
        <f t="shared" si="26"/>
        <v>71% to 80%</v>
      </c>
      <c r="U563">
        <v>0.72</v>
      </c>
    </row>
    <row r="564" spans="1:21" x14ac:dyDescent="0.3">
      <c r="A564" t="s">
        <v>1191</v>
      </c>
      <c r="B564" t="s">
        <v>1192</v>
      </c>
      <c r="C564" t="s">
        <v>111</v>
      </c>
      <c r="D564" t="s">
        <v>80</v>
      </c>
      <c r="E564">
        <v>21</v>
      </c>
      <c r="F564" t="str">
        <f t="shared" si="24"/>
        <v>21 to 30</v>
      </c>
      <c r="G564" t="s">
        <v>37</v>
      </c>
      <c r="H564" t="s">
        <v>38</v>
      </c>
      <c r="I564" t="s">
        <v>18</v>
      </c>
      <c r="J564">
        <v>2</v>
      </c>
      <c r="K564" t="str">
        <f t="shared" si="25"/>
        <v>0 to 10</v>
      </c>
      <c r="L564" s="1">
        <v>50</v>
      </c>
      <c r="M564" t="s">
        <v>2065</v>
      </c>
      <c r="N564" t="s">
        <v>2071</v>
      </c>
      <c r="O564">
        <v>4.9000000000000004</v>
      </c>
      <c r="P564" t="s">
        <v>19</v>
      </c>
      <c r="Q564" t="s">
        <v>2076</v>
      </c>
      <c r="R564">
        <v>0.68</v>
      </c>
      <c r="S564" s="2">
        <v>0.68</v>
      </c>
      <c r="T564" s="2" t="str">
        <f t="shared" si="26"/>
        <v>61% to 70 %</v>
      </c>
    </row>
    <row r="565" spans="1:21" x14ac:dyDescent="0.3">
      <c r="A565" t="s">
        <v>1193</v>
      </c>
      <c r="B565" t="s">
        <v>1194</v>
      </c>
      <c r="C565" t="s">
        <v>76</v>
      </c>
      <c r="D565" t="s">
        <v>80</v>
      </c>
      <c r="E565">
        <v>26</v>
      </c>
      <c r="F565" t="str">
        <f t="shared" si="24"/>
        <v>21 to 30</v>
      </c>
      <c r="G565" t="s">
        <v>101</v>
      </c>
      <c r="H565" t="s">
        <v>59</v>
      </c>
      <c r="I565" t="s">
        <v>79</v>
      </c>
      <c r="J565">
        <v>2</v>
      </c>
      <c r="K565" t="str">
        <f t="shared" si="25"/>
        <v>0 to 10</v>
      </c>
      <c r="L565" s="1">
        <v>75</v>
      </c>
      <c r="M565" t="s">
        <v>2068</v>
      </c>
      <c r="N565" t="s">
        <v>2066</v>
      </c>
      <c r="O565">
        <v>2.5</v>
      </c>
      <c r="P565" t="s">
        <v>19</v>
      </c>
      <c r="Q565" t="s">
        <v>2076</v>
      </c>
      <c r="R565">
        <v>60</v>
      </c>
      <c r="S565" s="2">
        <v>0.6</v>
      </c>
      <c r="T565" s="2" t="str">
        <f t="shared" si="26"/>
        <v>50% to 60%</v>
      </c>
      <c r="U565">
        <v>0.6</v>
      </c>
    </row>
    <row r="566" spans="1:21" x14ac:dyDescent="0.3">
      <c r="A566" t="s">
        <v>1195</v>
      </c>
      <c r="B566" t="s">
        <v>1196</v>
      </c>
      <c r="C566" t="s">
        <v>111</v>
      </c>
      <c r="D566" t="s">
        <v>80</v>
      </c>
      <c r="E566">
        <v>59</v>
      </c>
      <c r="F566" t="str">
        <f t="shared" si="24"/>
        <v>51 to 60</v>
      </c>
      <c r="G566" t="s">
        <v>58</v>
      </c>
      <c r="H566" t="s">
        <v>59</v>
      </c>
      <c r="I566" t="s">
        <v>33</v>
      </c>
      <c r="J566">
        <v>40</v>
      </c>
      <c r="K566" t="str">
        <f t="shared" si="25"/>
        <v>31 to 40</v>
      </c>
      <c r="L566" s="1">
        <v>40</v>
      </c>
      <c r="M566" t="s">
        <v>2067</v>
      </c>
      <c r="O566">
        <v>2.5</v>
      </c>
      <c r="P566" t="b">
        <v>1</v>
      </c>
      <c r="Q566" t="s">
        <v>2076</v>
      </c>
      <c r="R566">
        <v>70</v>
      </c>
      <c r="S566" s="2">
        <v>0.7</v>
      </c>
      <c r="T566" s="2" t="str">
        <f t="shared" si="26"/>
        <v>61% to 70 %</v>
      </c>
      <c r="U566">
        <v>0.7</v>
      </c>
    </row>
    <row r="567" spans="1:21" x14ac:dyDescent="0.3">
      <c r="A567" t="s">
        <v>1197</v>
      </c>
      <c r="B567" t="s">
        <v>1198</v>
      </c>
      <c r="C567" t="s">
        <v>76</v>
      </c>
      <c r="D567" t="s">
        <v>80</v>
      </c>
      <c r="E567">
        <v>33</v>
      </c>
      <c r="F567" t="str">
        <f t="shared" si="24"/>
        <v>31 to 40</v>
      </c>
      <c r="G567" t="s">
        <v>27</v>
      </c>
      <c r="H567" t="s">
        <v>28</v>
      </c>
      <c r="I567" t="s">
        <v>63</v>
      </c>
      <c r="J567">
        <v>11</v>
      </c>
      <c r="K567" t="str">
        <f t="shared" si="25"/>
        <v>11 to 20</v>
      </c>
      <c r="O567">
        <v>0</v>
      </c>
      <c r="P567" t="s">
        <v>19</v>
      </c>
      <c r="Q567" t="s">
        <v>2076</v>
      </c>
      <c r="R567">
        <v>0.65</v>
      </c>
      <c r="S567" s="2">
        <v>0.65</v>
      </c>
      <c r="T567" s="2" t="str">
        <f t="shared" si="26"/>
        <v>61% to 70 %</v>
      </c>
    </row>
    <row r="568" spans="1:21" x14ac:dyDescent="0.3">
      <c r="A568" t="s">
        <v>1199</v>
      </c>
      <c r="B568" t="s">
        <v>1200</v>
      </c>
      <c r="C568" t="s">
        <v>76</v>
      </c>
      <c r="D568" t="s">
        <v>80</v>
      </c>
      <c r="E568">
        <v>55</v>
      </c>
      <c r="F568" t="str">
        <f t="shared" si="24"/>
        <v>51 to 60</v>
      </c>
      <c r="G568" t="s">
        <v>42</v>
      </c>
      <c r="H568" t="s">
        <v>43</v>
      </c>
      <c r="I568" t="s">
        <v>108</v>
      </c>
      <c r="J568">
        <v>2</v>
      </c>
      <c r="K568" t="str">
        <f t="shared" si="25"/>
        <v>0 to 10</v>
      </c>
      <c r="L568" s="1">
        <v>30</v>
      </c>
      <c r="M568" t="s">
        <v>2068</v>
      </c>
      <c r="N568" t="s">
        <v>2069</v>
      </c>
      <c r="O568">
        <v>3.1</v>
      </c>
      <c r="P568" t="s">
        <v>96</v>
      </c>
      <c r="Q568" t="s">
        <v>2076</v>
      </c>
      <c r="R568">
        <v>0.91</v>
      </c>
      <c r="S568" s="2">
        <v>0.91</v>
      </c>
      <c r="T568" s="2" t="str">
        <f t="shared" si="26"/>
        <v>91% to 100%</v>
      </c>
    </row>
    <row r="569" spans="1:21" x14ac:dyDescent="0.3">
      <c r="A569" t="s">
        <v>1201</v>
      </c>
      <c r="B569" t="s">
        <v>1202</v>
      </c>
      <c r="C569" t="s">
        <v>111</v>
      </c>
      <c r="D569" t="s">
        <v>80</v>
      </c>
      <c r="E569">
        <v>30</v>
      </c>
      <c r="F569" t="str">
        <f t="shared" si="24"/>
        <v>21 to 30</v>
      </c>
      <c r="G569" t="s">
        <v>16</v>
      </c>
      <c r="H569" t="s">
        <v>17</v>
      </c>
      <c r="I569" t="s">
        <v>18</v>
      </c>
      <c r="J569">
        <v>11</v>
      </c>
      <c r="K569" t="str">
        <f t="shared" si="25"/>
        <v>11 to 20</v>
      </c>
      <c r="L569" s="1">
        <v>40</v>
      </c>
      <c r="M569" t="s">
        <v>2067</v>
      </c>
      <c r="O569">
        <v>1</v>
      </c>
      <c r="P569" t="s">
        <v>53</v>
      </c>
      <c r="Q569" t="s">
        <v>2077</v>
      </c>
      <c r="R569">
        <v>0.9</v>
      </c>
      <c r="S569" s="2">
        <v>0.9</v>
      </c>
      <c r="T569" s="2" t="str">
        <f t="shared" si="26"/>
        <v>81% to 90%</v>
      </c>
    </row>
    <row r="570" spans="1:21" x14ac:dyDescent="0.3">
      <c r="A570" t="s">
        <v>1203</v>
      </c>
      <c r="B570" t="s">
        <v>1204</v>
      </c>
      <c r="C570" t="s">
        <v>111</v>
      </c>
      <c r="D570" t="s">
        <v>80</v>
      </c>
      <c r="E570">
        <v>47</v>
      </c>
      <c r="F570" t="str">
        <f t="shared" si="24"/>
        <v>41 to 50</v>
      </c>
      <c r="G570" t="s">
        <v>139</v>
      </c>
      <c r="H570" t="s">
        <v>59</v>
      </c>
      <c r="I570" t="s">
        <v>63</v>
      </c>
      <c r="J570">
        <v>18</v>
      </c>
      <c r="K570" t="str">
        <f t="shared" si="25"/>
        <v>11 to 20</v>
      </c>
      <c r="L570" s="1">
        <v>40</v>
      </c>
      <c r="M570" t="s">
        <v>2067</v>
      </c>
      <c r="O570">
        <v>3.4</v>
      </c>
      <c r="P570">
        <v>0</v>
      </c>
      <c r="Q570" t="s">
        <v>2077</v>
      </c>
      <c r="R570">
        <v>60</v>
      </c>
      <c r="S570" s="2">
        <v>0.6</v>
      </c>
      <c r="T570" s="2" t="str">
        <f t="shared" si="26"/>
        <v>50% to 60%</v>
      </c>
      <c r="U570">
        <v>0.6</v>
      </c>
    </row>
    <row r="571" spans="1:21" x14ac:dyDescent="0.3">
      <c r="A571" t="s">
        <v>1205</v>
      </c>
      <c r="B571" t="s">
        <v>1206</v>
      </c>
      <c r="C571" t="s">
        <v>76</v>
      </c>
      <c r="D571" t="s">
        <v>80</v>
      </c>
      <c r="E571">
        <v>21</v>
      </c>
      <c r="F571" t="str">
        <f t="shared" si="24"/>
        <v>21 to 30</v>
      </c>
      <c r="G571" t="s">
        <v>27</v>
      </c>
      <c r="H571" t="s">
        <v>28</v>
      </c>
      <c r="I571" t="s">
        <v>39</v>
      </c>
      <c r="J571">
        <v>0</v>
      </c>
      <c r="K571" t="str">
        <f t="shared" si="25"/>
        <v>0 to 10</v>
      </c>
      <c r="L571" s="1">
        <v>20</v>
      </c>
      <c r="M571" t="s">
        <v>2065</v>
      </c>
      <c r="N571" t="s">
        <v>2072</v>
      </c>
      <c r="O571">
        <v>3.8</v>
      </c>
      <c r="P571">
        <v>1</v>
      </c>
      <c r="Q571" t="s">
        <v>2076</v>
      </c>
      <c r="R571">
        <v>0.61</v>
      </c>
      <c r="S571" s="2">
        <v>0.61</v>
      </c>
      <c r="T571" s="2" t="str">
        <f t="shared" si="26"/>
        <v>61% to 70 %</v>
      </c>
    </row>
    <row r="572" spans="1:21" x14ac:dyDescent="0.3">
      <c r="A572" t="s">
        <v>1207</v>
      </c>
      <c r="B572" t="s">
        <v>1208</v>
      </c>
      <c r="C572" t="s">
        <v>76</v>
      </c>
      <c r="D572" t="s">
        <v>80</v>
      </c>
      <c r="E572">
        <v>38</v>
      </c>
      <c r="F572" t="str">
        <f t="shared" si="24"/>
        <v>31 to 40</v>
      </c>
      <c r="G572" t="s">
        <v>254</v>
      </c>
      <c r="H572" t="s">
        <v>255</v>
      </c>
      <c r="I572" t="s">
        <v>33</v>
      </c>
      <c r="J572">
        <v>18</v>
      </c>
      <c r="K572" t="str">
        <f t="shared" si="25"/>
        <v>11 to 20</v>
      </c>
      <c r="L572" s="1">
        <v>40</v>
      </c>
      <c r="M572" t="s">
        <v>2068</v>
      </c>
      <c r="N572" t="s">
        <v>2067</v>
      </c>
      <c r="O572">
        <v>4.9000000000000004</v>
      </c>
      <c r="P572" t="b">
        <v>0</v>
      </c>
      <c r="Q572" t="s">
        <v>2077</v>
      </c>
      <c r="R572">
        <v>0.74</v>
      </c>
      <c r="S572" s="2">
        <v>0.74</v>
      </c>
      <c r="T572" s="2" t="str">
        <f t="shared" si="26"/>
        <v>71% to 80%</v>
      </c>
    </row>
    <row r="573" spans="1:21" x14ac:dyDescent="0.3">
      <c r="A573" t="s">
        <v>1209</v>
      </c>
      <c r="B573" t="s">
        <v>1210</v>
      </c>
      <c r="C573" t="s">
        <v>111</v>
      </c>
      <c r="D573" t="s">
        <v>80</v>
      </c>
      <c r="E573">
        <v>26</v>
      </c>
      <c r="F573" t="str">
        <f t="shared" si="24"/>
        <v>21 to 30</v>
      </c>
      <c r="G573" t="s">
        <v>50</v>
      </c>
      <c r="H573" t="s">
        <v>51</v>
      </c>
      <c r="I573" t="s">
        <v>66</v>
      </c>
      <c r="J573">
        <v>8</v>
      </c>
      <c r="K573" t="str">
        <f t="shared" si="25"/>
        <v>0 to 10</v>
      </c>
      <c r="L573" s="1">
        <v>20</v>
      </c>
      <c r="M573" t="s">
        <v>2068</v>
      </c>
      <c r="N573" t="s">
        <v>2072</v>
      </c>
      <c r="O573">
        <v>4.0999999999999996</v>
      </c>
      <c r="P573" t="s">
        <v>19</v>
      </c>
      <c r="Q573" t="s">
        <v>2076</v>
      </c>
      <c r="R573">
        <v>0.82</v>
      </c>
      <c r="S573" s="2">
        <v>0.82</v>
      </c>
      <c r="T573" s="2" t="str">
        <f t="shared" si="26"/>
        <v>81% to 90%</v>
      </c>
    </row>
    <row r="574" spans="1:21" x14ac:dyDescent="0.3">
      <c r="A574" t="s">
        <v>1211</v>
      </c>
      <c r="B574" t="s">
        <v>1212</v>
      </c>
      <c r="C574" t="s">
        <v>111</v>
      </c>
      <c r="D574" t="s">
        <v>80</v>
      </c>
      <c r="E574">
        <v>40</v>
      </c>
      <c r="F574" t="str">
        <f t="shared" si="24"/>
        <v>31 to 40</v>
      </c>
      <c r="G574" t="s">
        <v>101</v>
      </c>
      <c r="H574" t="s">
        <v>59</v>
      </c>
      <c r="I574" t="s">
        <v>66</v>
      </c>
      <c r="J574">
        <v>0</v>
      </c>
      <c r="K574" t="str">
        <f t="shared" si="25"/>
        <v>0 to 10</v>
      </c>
      <c r="L574" s="1">
        <v>100</v>
      </c>
      <c r="M574" t="s">
        <v>2065</v>
      </c>
      <c r="N574" t="s">
        <v>2070</v>
      </c>
      <c r="O574">
        <v>1.2</v>
      </c>
      <c r="R574">
        <v>0.87</v>
      </c>
      <c r="S574" s="2">
        <v>0.87</v>
      </c>
      <c r="T574" s="2" t="str">
        <f t="shared" si="26"/>
        <v>81% to 90%</v>
      </c>
    </row>
    <row r="575" spans="1:21" x14ac:dyDescent="0.3">
      <c r="A575" t="s">
        <v>1213</v>
      </c>
      <c r="B575" t="s">
        <v>1214</v>
      </c>
      <c r="C575" t="s">
        <v>111</v>
      </c>
      <c r="D575" t="s">
        <v>80</v>
      </c>
      <c r="E575">
        <v>53</v>
      </c>
      <c r="F575" t="str">
        <f t="shared" si="24"/>
        <v>51 to 60</v>
      </c>
      <c r="G575" t="s">
        <v>83</v>
      </c>
      <c r="H575" t="s">
        <v>84</v>
      </c>
      <c r="I575" t="s">
        <v>79</v>
      </c>
      <c r="J575">
        <v>16</v>
      </c>
      <c r="K575" t="str">
        <f t="shared" si="25"/>
        <v>11 to 20</v>
      </c>
      <c r="L575" s="1">
        <v>40</v>
      </c>
      <c r="M575" t="s">
        <v>2067</v>
      </c>
      <c r="O575">
        <v>0</v>
      </c>
      <c r="P575" t="s">
        <v>67</v>
      </c>
      <c r="Q575" t="s">
        <v>2077</v>
      </c>
      <c r="T575" s="2" t="str">
        <f t="shared" si="26"/>
        <v/>
      </c>
    </row>
    <row r="576" spans="1:21" x14ac:dyDescent="0.3">
      <c r="A576" t="s">
        <v>1215</v>
      </c>
      <c r="B576" t="s">
        <v>1216</v>
      </c>
      <c r="C576" t="s">
        <v>36</v>
      </c>
      <c r="D576" t="s">
        <v>20</v>
      </c>
      <c r="E576">
        <v>32</v>
      </c>
      <c r="F576" t="str">
        <f t="shared" si="24"/>
        <v>31 to 40</v>
      </c>
      <c r="G576" t="s">
        <v>87</v>
      </c>
      <c r="H576" t="s">
        <v>88</v>
      </c>
      <c r="I576" t="s">
        <v>63</v>
      </c>
      <c r="J576">
        <v>10</v>
      </c>
      <c r="K576" t="str">
        <f t="shared" si="25"/>
        <v>0 to 10</v>
      </c>
      <c r="L576" s="1">
        <v>50</v>
      </c>
      <c r="M576" t="s">
        <v>2071</v>
      </c>
      <c r="O576">
        <v>1.2</v>
      </c>
      <c r="P576" t="b">
        <v>0</v>
      </c>
      <c r="Q576" t="s">
        <v>2077</v>
      </c>
      <c r="R576">
        <v>0.89</v>
      </c>
      <c r="S576" s="2">
        <v>0.89</v>
      </c>
      <c r="T576" s="2" t="str">
        <f t="shared" si="26"/>
        <v>81% to 90%</v>
      </c>
    </row>
    <row r="577" spans="1:21" x14ac:dyDescent="0.3">
      <c r="A577" t="s">
        <v>1217</v>
      </c>
      <c r="B577" t="s">
        <v>1218</v>
      </c>
      <c r="C577" t="s">
        <v>36</v>
      </c>
      <c r="D577" t="s">
        <v>20</v>
      </c>
      <c r="E577">
        <v>23</v>
      </c>
      <c r="F577" t="str">
        <f t="shared" si="24"/>
        <v>21 to 30</v>
      </c>
      <c r="G577" t="s">
        <v>101</v>
      </c>
      <c r="H577" t="s">
        <v>59</v>
      </c>
      <c r="I577" t="s">
        <v>66</v>
      </c>
      <c r="J577">
        <v>1</v>
      </c>
      <c r="K577" t="str">
        <f t="shared" si="25"/>
        <v>0 to 10</v>
      </c>
      <c r="L577" s="1">
        <v>20</v>
      </c>
      <c r="M577" t="s">
        <v>2068</v>
      </c>
      <c r="N577" t="s">
        <v>2072</v>
      </c>
      <c r="O577">
        <v>4</v>
      </c>
      <c r="P577" t="s">
        <v>96</v>
      </c>
      <c r="Q577" t="s">
        <v>2076</v>
      </c>
      <c r="R577">
        <v>100</v>
      </c>
      <c r="S577" s="2">
        <v>1</v>
      </c>
      <c r="T577" s="2" t="str">
        <f t="shared" si="26"/>
        <v>91% to 100%</v>
      </c>
      <c r="U577">
        <v>1</v>
      </c>
    </row>
    <row r="578" spans="1:21" x14ac:dyDescent="0.3">
      <c r="A578" t="s">
        <v>1219</v>
      </c>
      <c r="B578" t="s">
        <v>1220</v>
      </c>
      <c r="C578" t="s">
        <v>15</v>
      </c>
      <c r="D578" t="s">
        <v>20</v>
      </c>
      <c r="E578">
        <v>51</v>
      </c>
      <c r="F578" t="str">
        <f t="shared" ref="F578:F641" si="27">IF(OR($E578="",NOT(ISNUMBER($E578))),"",
 IF($E578&lt;=20,"11 to 20",
 IF($E578&lt;=30,"21 to 30",
 IF($E578&lt;=40,"31 to 40",
 IF($E578&lt;=50,"41 to 50",
 IF($E578&lt;=60,"51 to 60"))))))</f>
        <v>51 to 60</v>
      </c>
      <c r="G578" t="s">
        <v>27</v>
      </c>
      <c r="H578" t="s">
        <v>28</v>
      </c>
      <c r="I578" t="s">
        <v>47</v>
      </c>
      <c r="J578">
        <v>33</v>
      </c>
      <c r="K578" t="str">
        <f t="shared" ref="K578:K641" si="28">IF(OR($J578="",NOT(ISNUMBER($J578))),"",
 IF($J578&lt;=10,"0 to 10",
 IF($J578&lt;=20,"11 to 20",
 IF($J578&lt;=30,"21 to 30",
 IF($J578&lt;=40,"31 to 40",
 "40+")))))</f>
        <v>31 to 40</v>
      </c>
      <c r="L578" s="1">
        <v>75</v>
      </c>
      <c r="M578" t="s">
        <v>2066</v>
      </c>
      <c r="O578">
        <v>3.3</v>
      </c>
      <c r="R578">
        <v>0.68</v>
      </c>
      <c r="S578" s="2">
        <v>0.68</v>
      </c>
      <c r="T578" s="2" t="str">
        <f t="shared" ref="T578:T641" si="29">IF(OR($S578="",NOT(ISNUMBER($S578))),"",
 IF($S578&lt;=0.6,"50% to 60%",
 IF($S578&lt;=0.7,"61% to 70 %",
 IF($S578&lt;=0.8,"71% to 80%",
 IF($S578&lt;=0.9,"81% to 90%",
 IF($S578&lt;=1,"91% to 100%"))))))</f>
        <v>61% to 70 %</v>
      </c>
    </row>
    <row r="579" spans="1:21" x14ac:dyDescent="0.3">
      <c r="A579" t="s">
        <v>1221</v>
      </c>
      <c r="B579" t="s">
        <v>1222</v>
      </c>
      <c r="C579" t="s">
        <v>36</v>
      </c>
      <c r="D579" t="s">
        <v>20</v>
      </c>
      <c r="E579">
        <v>33</v>
      </c>
      <c r="F579" t="str">
        <f t="shared" si="27"/>
        <v>31 to 40</v>
      </c>
      <c r="G579" t="s">
        <v>37</v>
      </c>
      <c r="H579" t="s">
        <v>38</v>
      </c>
      <c r="I579" t="s">
        <v>33</v>
      </c>
      <c r="J579">
        <v>8</v>
      </c>
      <c r="K579" t="str">
        <f t="shared" si="28"/>
        <v>0 to 10</v>
      </c>
      <c r="L579" s="1">
        <v>75</v>
      </c>
      <c r="M579" t="s">
        <v>2068</v>
      </c>
      <c r="N579" t="s">
        <v>2066</v>
      </c>
      <c r="O579">
        <v>2.2999999999999998</v>
      </c>
      <c r="P579" t="b">
        <v>1</v>
      </c>
      <c r="Q579" t="s">
        <v>2076</v>
      </c>
      <c r="R579">
        <v>0.68</v>
      </c>
      <c r="S579" s="2">
        <v>0.68</v>
      </c>
      <c r="T579" s="2" t="str">
        <f t="shared" si="29"/>
        <v>61% to 70 %</v>
      </c>
    </row>
    <row r="580" spans="1:21" x14ac:dyDescent="0.3">
      <c r="A580" t="s">
        <v>1223</v>
      </c>
      <c r="B580" t="s">
        <v>1224</v>
      </c>
      <c r="C580" t="s">
        <v>36</v>
      </c>
      <c r="D580" t="s">
        <v>20</v>
      </c>
      <c r="E580">
        <v>39</v>
      </c>
      <c r="F580" t="str">
        <f t="shared" si="27"/>
        <v>31 to 40</v>
      </c>
      <c r="G580" t="s">
        <v>27</v>
      </c>
      <c r="H580" t="s">
        <v>28</v>
      </c>
      <c r="I580" t="s">
        <v>39</v>
      </c>
      <c r="J580">
        <v>21</v>
      </c>
      <c r="K580" t="str">
        <f t="shared" si="28"/>
        <v>21 to 30</v>
      </c>
      <c r="L580" s="1">
        <v>100</v>
      </c>
      <c r="M580" t="s">
        <v>2070</v>
      </c>
      <c r="O580">
        <v>2.2000000000000002</v>
      </c>
      <c r="P580">
        <v>0</v>
      </c>
      <c r="Q580" t="s">
        <v>2077</v>
      </c>
      <c r="R580">
        <v>0.79</v>
      </c>
      <c r="S580" s="2">
        <v>0.79</v>
      </c>
      <c r="T580" s="2" t="str">
        <f t="shared" si="29"/>
        <v>71% to 80%</v>
      </c>
    </row>
    <row r="581" spans="1:21" x14ac:dyDescent="0.3">
      <c r="A581" t="s">
        <v>1225</v>
      </c>
      <c r="B581" t="s">
        <v>1226</v>
      </c>
      <c r="C581" t="s">
        <v>15</v>
      </c>
      <c r="D581" t="s">
        <v>20</v>
      </c>
      <c r="E581">
        <v>38</v>
      </c>
      <c r="F581" t="str">
        <f t="shared" si="27"/>
        <v>31 to 40</v>
      </c>
      <c r="G581" t="s">
        <v>254</v>
      </c>
      <c r="H581" t="s">
        <v>255</v>
      </c>
      <c r="I581" t="s">
        <v>39</v>
      </c>
      <c r="J581">
        <v>14</v>
      </c>
      <c r="K581" t="str">
        <f t="shared" si="28"/>
        <v>11 to 20</v>
      </c>
      <c r="L581" s="1">
        <v>75</v>
      </c>
      <c r="M581" t="s">
        <v>2066</v>
      </c>
      <c r="O581">
        <v>1.5</v>
      </c>
      <c r="P581" t="s">
        <v>53</v>
      </c>
      <c r="Q581" t="s">
        <v>2077</v>
      </c>
      <c r="R581">
        <v>0.62</v>
      </c>
      <c r="S581" s="2">
        <v>0.62</v>
      </c>
      <c r="T581" s="2" t="str">
        <f t="shared" si="29"/>
        <v>61% to 70 %</v>
      </c>
    </row>
    <row r="582" spans="1:21" x14ac:dyDescent="0.3">
      <c r="A582" t="s">
        <v>1227</v>
      </c>
      <c r="B582" t="s">
        <v>1228</v>
      </c>
      <c r="C582" t="s">
        <v>36</v>
      </c>
      <c r="D582" t="s">
        <v>20</v>
      </c>
      <c r="E582">
        <v>29</v>
      </c>
      <c r="F582" t="str">
        <f t="shared" si="27"/>
        <v>21 to 30</v>
      </c>
      <c r="G582" t="s">
        <v>104</v>
      </c>
      <c r="H582" t="s">
        <v>105</v>
      </c>
      <c r="I582" t="s">
        <v>63</v>
      </c>
      <c r="J582">
        <v>1</v>
      </c>
      <c r="K582" t="str">
        <f t="shared" si="28"/>
        <v>0 to 10</v>
      </c>
      <c r="L582" s="1">
        <v>20</v>
      </c>
      <c r="M582" t="s">
        <v>2072</v>
      </c>
      <c r="O582">
        <v>1.4</v>
      </c>
      <c r="P582">
        <v>1</v>
      </c>
      <c r="Q582" t="s">
        <v>2076</v>
      </c>
      <c r="R582">
        <v>0.63</v>
      </c>
      <c r="S582" s="2">
        <v>0.63</v>
      </c>
      <c r="T582" s="2" t="str">
        <f t="shared" si="29"/>
        <v>61% to 70 %</v>
      </c>
    </row>
    <row r="583" spans="1:21" x14ac:dyDescent="0.3">
      <c r="A583" t="s">
        <v>1229</v>
      </c>
      <c r="B583" t="s">
        <v>1230</v>
      </c>
      <c r="C583" t="s">
        <v>15</v>
      </c>
      <c r="D583" t="s">
        <v>20</v>
      </c>
      <c r="E583">
        <v>32</v>
      </c>
      <c r="F583" t="str">
        <f t="shared" si="27"/>
        <v>31 to 40</v>
      </c>
      <c r="G583" t="s">
        <v>46</v>
      </c>
      <c r="H583" t="s">
        <v>17</v>
      </c>
      <c r="I583" t="s">
        <v>108</v>
      </c>
      <c r="J583">
        <v>3</v>
      </c>
      <c r="K583" t="str">
        <f t="shared" si="28"/>
        <v>0 to 10</v>
      </c>
      <c r="L583" s="1">
        <v>30</v>
      </c>
      <c r="M583" t="s">
        <v>2065</v>
      </c>
      <c r="N583" t="s">
        <v>2069</v>
      </c>
      <c r="O583">
        <v>1.5</v>
      </c>
      <c r="P583" t="s">
        <v>53</v>
      </c>
      <c r="Q583" t="s">
        <v>2077</v>
      </c>
      <c r="R583">
        <v>0.96</v>
      </c>
      <c r="S583" s="2">
        <v>0.96</v>
      </c>
      <c r="T583" s="2" t="str">
        <f t="shared" si="29"/>
        <v>91% to 100%</v>
      </c>
    </row>
    <row r="584" spans="1:21" x14ac:dyDescent="0.3">
      <c r="A584" t="s">
        <v>1231</v>
      </c>
      <c r="B584" t="s">
        <v>1232</v>
      </c>
      <c r="C584" t="s">
        <v>36</v>
      </c>
      <c r="D584" t="s">
        <v>20</v>
      </c>
      <c r="E584">
        <v>50</v>
      </c>
      <c r="F584" t="str">
        <f t="shared" si="27"/>
        <v>41 to 50</v>
      </c>
      <c r="G584" t="s">
        <v>58</v>
      </c>
      <c r="H584" t="s">
        <v>59</v>
      </c>
      <c r="I584" t="s">
        <v>108</v>
      </c>
      <c r="J584">
        <v>15</v>
      </c>
      <c r="K584" t="str">
        <f t="shared" si="28"/>
        <v>11 to 20</v>
      </c>
      <c r="O584">
        <v>2</v>
      </c>
      <c r="P584" t="s">
        <v>19</v>
      </c>
      <c r="Q584" t="s">
        <v>2076</v>
      </c>
      <c r="R584">
        <v>0.65</v>
      </c>
      <c r="S584" s="2">
        <v>0.65</v>
      </c>
      <c r="T584" s="2" t="str">
        <f t="shared" si="29"/>
        <v>61% to 70 %</v>
      </c>
    </row>
    <row r="585" spans="1:21" x14ac:dyDescent="0.3">
      <c r="A585" t="s">
        <v>1233</v>
      </c>
      <c r="B585" t="s">
        <v>1234</v>
      </c>
      <c r="C585" t="s">
        <v>15</v>
      </c>
      <c r="D585" t="s">
        <v>20</v>
      </c>
      <c r="E585">
        <v>51</v>
      </c>
      <c r="F585" t="str">
        <f t="shared" si="27"/>
        <v>51 to 60</v>
      </c>
      <c r="G585" t="s">
        <v>101</v>
      </c>
      <c r="H585" t="s">
        <v>59</v>
      </c>
      <c r="I585" t="s">
        <v>79</v>
      </c>
      <c r="J585">
        <v>21</v>
      </c>
      <c r="K585" t="str">
        <f t="shared" si="28"/>
        <v>21 to 30</v>
      </c>
      <c r="L585" s="1">
        <v>20</v>
      </c>
      <c r="M585" t="s">
        <v>2072</v>
      </c>
      <c r="P585" t="s">
        <v>96</v>
      </c>
      <c r="Q585" t="s">
        <v>2076</v>
      </c>
      <c r="T585" s="2" t="str">
        <f t="shared" si="29"/>
        <v/>
      </c>
    </row>
    <row r="586" spans="1:21" x14ac:dyDescent="0.3">
      <c r="A586" t="s">
        <v>1235</v>
      </c>
      <c r="B586" t="s">
        <v>1236</v>
      </c>
      <c r="C586" t="s">
        <v>76</v>
      </c>
      <c r="D586" t="s">
        <v>80</v>
      </c>
      <c r="E586">
        <v>59</v>
      </c>
      <c r="F586" t="str">
        <f t="shared" si="27"/>
        <v>51 to 60</v>
      </c>
      <c r="G586" t="s">
        <v>58</v>
      </c>
      <c r="H586" t="s">
        <v>59</v>
      </c>
      <c r="I586" t="s">
        <v>63</v>
      </c>
      <c r="J586">
        <v>40</v>
      </c>
      <c r="K586" t="str">
        <f t="shared" si="28"/>
        <v>31 to 40</v>
      </c>
      <c r="L586" s="1">
        <v>100</v>
      </c>
      <c r="M586" t="s">
        <v>2070</v>
      </c>
      <c r="O586">
        <v>2.6</v>
      </c>
      <c r="T586" s="2" t="str">
        <f t="shared" si="29"/>
        <v/>
      </c>
    </row>
    <row r="587" spans="1:21" x14ac:dyDescent="0.3">
      <c r="A587" t="s">
        <v>1237</v>
      </c>
      <c r="B587" t="s">
        <v>1238</v>
      </c>
      <c r="C587" t="s">
        <v>76</v>
      </c>
      <c r="D587" t="s">
        <v>80</v>
      </c>
      <c r="E587">
        <v>34</v>
      </c>
      <c r="F587" t="str">
        <f t="shared" si="27"/>
        <v>31 to 40</v>
      </c>
      <c r="G587" t="s">
        <v>101</v>
      </c>
      <c r="H587" t="s">
        <v>59</v>
      </c>
      <c r="I587" t="s">
        <v>33</v>
      </c>
      <c r="J587">
        <v>2</v>
      </c>
      <c r="K587" t="str">
        <f t="shared" si="28"/>
        <v>0 to 10</v>
      </c>
      <c r="L587" s="1">
        <v>100</v>
      </c>
      <c r="M587" t="s">
        <v>2070</v>
      </c>
      <c r="O587">
        <v>0</v>
      </c>
      <c r="P587">
        <v>0</v>
      </c>
      <c r="Q587" t="s">
        <v>2077</v>
      </c>
      <c r="R587">
        <v>86</v>
      </c>
      <c r="S587" s="2">
        <v>0.86</v>
      </c>
      <c r="T587" s="2" t="str">
        <f t="shared" si="29"/>
        <v>81% to 90%</v>
      </c>
      <c r="U587">
        <v>0.86</v>
      </c>
    </row>
    <row r="588" spans="1:21" x14ac:dyDescent="0.3">
      <c r="A588" t="s">
        <v>1239</v>
      </c>
      <c r="B588" t="s">
        <v>1240</v>
      </c>
      <c r="C588" t="s">
        <v>76</v>
      </c>
      <c r="D588" t="s">
        <v>80</v>
      </c>
      <c r="E588">
        <v>30</v>
      </c>
      <c r="F588" t="str">
        <f t="shared" si="27"/>
        <v>21 to 30</v>
      </c>
      <c r="G588" t="s">
        <v>58</v>
      </c>
      <c r="H588" t="s">
        <v>59</v>
      </c>
      <c r="I588" t="s">
        <v>66</v>
      </c>
      <c r="J588">
        <v>8</v>
      </c>
      <c r="K588" t="str">
        <f t="shared" si="28"/>
        <v>0 to 10</v>
      </c>
      <c r="L588" s="1">
        <v>100</v>
      </c>
      <c r="M588" t="s">
        <v>2070</v>
      </c>
      <c r="O588">
        <v>1.4</v>
      </c>
      <c r="P588" t="s">
        <v>19</v>
      </c>
      <c r="Q588" t="s">
        <v>2076</v>
      </c>
      <c r="R588">
        <v>62</v>
      </c>
      <c r="S588" s="2">
        <v>0.62</v>
      </c>
      <c r="T588" s="2" t="str">
        <f t="shared" si="29"/>
        <v>61% to 70 %</v>
      </c>
      <c r="U588">
        <v>0.62</v>
      </c>
    </row>
    <row r="589" spans="1:21" x14ac:dyDescent="0.3">
      <c r="A589" t="s">
        <v>1241</v>
      </c>
      <c r="B589" t="s">
        <v>1242</v>
      </c>
      <c r="C589" t="s">
        <v>76</v>
      </c>
      <c r="D589" t="s">
        <v>80</v>
      </c>
      <c r="E589">
        <v>39</v>
      </c>
      <c r="F589" t="str">
        <f t="shared" si="27"/>
        <v>31 to 40</v>
      </c>
      <c r="G589" t="s">
        <v>101</v>
      </c>
      <c r="H589" t="s">
        <v>59</v>
      </c>
      <c r="I589" t="s">
        <v>66</v>
      </c>
      <c r="J589">
        <v>13</v>
      </c>
      <c r="K589" t="str">
        <f t="shared" si="28"/>
        <v>11 to 20</v>
      </c>
      <c r="L589" s="1">
        <v>30</v>
      </c>
      <c r="M589" t="s">
        <v>2065</v>
      </c>
      <c r="N589" t="s">
        <v>2069</v>
      </c>
      <c r="O589">
        <v>2.5</v>
      </c>
      <c r="P589" t="b">
        <v>0</v>
      </c>
      <c r="Q589" t="s">
        <v>2077</v>
      </c>
      <c r="R589">
        <v>0.6</v>
      </c>
      <c r="S589" s="2">
        <v>0.6</v>
      </c>
      <c r="T589" s="2" t="str">
        <f t="shared" si="29"/>
        <v>50% to 60%</v>
      </c>
    </row>
    <row r="590" spans="1:21" x14ac:dyDescent="0.3">
      <c r="A590" t="s">
        <v>1243</v>
      </c>
      <c r="B590" t="s">
        <v>1244</v>
      </c>
      <c r="C590" t="s">
        <v>76</v>
      </c>
      <c r="D590" t="s">
        <v>80</v>
      </c>
      <c r="E590">
        <v>22</v>
      </c>
      <c r="F590" t="str">
        <f t="shared" si="27"/>
        <v>21 to 30</v>
      </c>
      <c r="G590" t="s">
        <v>158</v>
      </c>
      <c r="H590" t="s">
        <v>159</v>
      </c>
      <c r="I590" t="s">
        <v>33</v>
      </c>
      <c r="J590">
        <v>1</v>
      </c>
      <c r="K590" t="str">
        <f t="shared" si="28"/>
        <v>0 to 10</v>
      </c>
      <c r="L590" s="1">
        <v>50</v>
      </c>
      <c r="M590" t="s">
        <v>2071</v>
      </c>
      <c r="O590">
        <v>0</v>
      </c>
      <c r="R590">
        <v>0.98</v>
      </c>
      <c r="S590" s="2">
        <v>0.98</v>
      </c>
      <c r="T590" s="2" t="str">
        <f t="shared" si="29"/>
        <v>91% to 100%</v>
      </c>
    </row>
    <row r="591" spans="1:21" x14ac:dyDescent="0.3">
      <c r="A591" t="s">
        <v>1245</v>
      </c>
      <c r="B591" t="s">
        <v>1246</v>
      </c>
      <c r="C591" t="s">
        <v>111</v>
      </c>
      <c r="D591" t="s">
        <v>80</v>
      </c>
      <c r="E591">
        <v>26</v>
      </c>
      <c r="F591" t="str">
        <f t="shared" si="27"/>
        <v>21 to 30</v>
      </c>
      <c r="G591" t="s">
        <v>58</v>
      </c>
      <c r="H591" t="s">
        <v>59</v>
      </c>
      <c r="I591" t="s">
        <v>66</v>
      </c>
      <c r="J591">
        <v>8</v>
      </c>
      <c r="K591" t="str">
        <f t="shared" si="28"/>
        <v>0 to 10</v>
      </c>
      <c r="L591" s="1">
        <v>50</v>
      </c>
      <c r="M591" t="s">
        <v>2071</v>
      </c>
      <c r="O591">
        <v>1.3</v>
      </c>
      <c r="P591" t="b">
        <v>0</v>
      </c>
      <c r="Q591" t="s">
        <v>2077</v>
      </c>
      <c r="R591">
        <v>0.76</v>
      </c>
      <c r="S591" s="2">
        <v>0.76</v>
      </c>
      <c r="T591" s="2" t="str">
        <f t="shared" si="29"/>
        <v>71% to 80%</v>
      </c>
    </row>
    <row r="592" spans="1:21" x14ac:dyDescent="0.3">
      <c r="A592" t="s">
        <v>1247</v>
      </c>
      <c r="B592" t="s">
        <v>1248</v>
      </c>
      <c r="C592" t="s">
        <v>76</v>
      </c>
      <c r="D592" t="s">
        <v>80</v>
      </c>
      <c r="E592">
        <v>25</v>
      </c>
      <c r="F592" t="str">
        <f t="shared" si="27"/>
        <v>21 to 30</v>
      </c>
      <c r="G592" t="s">
        <v>91</v>
      </c>
      <c r="H592" t="s">
        <v>59</v>
      </c>
      <c r="I592" t="s">
        <v>18</v>
      </c>
      <c r="J592">
        <v>6</v>
      </c>
      <c r="K592" t="str">
        <f t="shared" si="28"/>
        <v>0 to 10</v>
      </c>
      <c r="L592" s="1">
        <v>100</v>
      </c>
      <c r="M592" t="s">
        <v>2065</v>
      </c>
      <c r="N592" t="s">
        <v>2070</v>
      </c>
      <c r="P592" t="s">
        <v>96</v>
      </c>
      <c r="Q592" t="s">
        <v>2076</v>
      </c>
      <c r="R592">
        <v>78</v>
      </c>
      <c r="S592" s="2">
        <v>0.78</v>
      </c>
      <c r="T592" s="2" t="str">
        <f t="shared" si="29"/>
        <v>71% to 80%</v>
      </c>
      <c r="U592">
        <v>0.78</v>
      </c>
    </row>
    <row r="593" spans="1:21" x14ac:dyDescent="0.3">
      <c r="A593" t="s">
        <v>1249</v>
      </c>
      <c r="B593" t="s">
        <v>1250</v>
      </c>
      <c r="C593" t="s">
        <v>76</v>
      </c>
      <c r="D593" t="s">
        <v>80</v>
      </c>
      <c r="E593">
        <v>50</v>
      </c>
      <c r="F593" t="str">
        <f t="shared" si="27"/>
        <v>41 to 50</v>
      </c>
      <c r="G593" t="s">
        <v>254</v>
      </c>
      <c r="H593" t="s">
        <v>255</v>
      </c>
      <c r="I593" t="s">
        <v>33</v>
      </c>
      <c r="J593">
        <v>16</v>
      </c>
      <c r="K593" t="str">
        <f t="shared" si="28"/>
        <v>11 to 20</v>
      </c>
      <c r="L593" s="1">
        <v>75</v>
      </c>
      <c r="M593" t="s">
        <v>2065</v>
      </c>
      <c r="N593" t="s">
        <v>2066</v>
      </c>
      <c r="O593">
        <v>4.5</v>
      </c>
      <c r="P593">
        <v>0</v>
      </c>
      <c r="Q593" t="s">
        <v>2077</v>
      </c>
      <c r="R593">
        <v>69</v>
      </c>
      <c r="S593" s="2">
        <v>0.69</v>
      </c>
      <c r="T593" s="2" t="str">
        <f t="shared" si="29"/>
        <v>61% to 70 %</v>
      </c>
      <c r="U593">
        <v>0.69</v>
      </c>
    </row>
    <row r="594" spans="1:21" x14ac:dyDescent="0.3">
      <c r="A594" t="s">
        <v>1251</v>
      </c>
      <c r="B594" t="s">
        <v>1252</v>
      </c>
      <c r="C594" t="s">
        <v>76</v>
      </c>
      <c r="D594" t="s">
        <v>80</v>
      </c>
      <c r="E594">
        <v>37</v>
      </c>
      <c r="F594" t="str">
        <f t="shared" si="27"/>
        <v>31 to 40</v>
      </c>
      <c r="G594" t="s">
        <v>254</v>
      </c>
      <c r="H594" t="s">
        <v>255</v>
      </c>
      <c r="I594" t="s">
        <v>66</v>
      </c>
      <c r="K594" t="str">
        <f t="shared" si="28"/>
        <v/>
      </c>
      <c r="L594" s="1">
        <v>75</v>
      </c>
      <c r="M594" t="s">
        <v>2068</v>
      </c>
      <c r="N594" t="s">
        <v>2066</v>
      </c>
      <c r="O594">
        <v>3.5</v>
      </c>
      <c r="P594" t="s">
        <v>53</v>
      </c>
      <c r="Q594" t="s">
        <v>2077</v>
      </c>
      <c r="R594">
        <v>0.75</v>
      </c>
      <c r="S594" s="2">
        <v>0.75</v>
      </c>
      <c r="T594" s="2" t="str">
        <f t="shared" si="29"/>
        <v>71% to 80%</v>
      </c>
    </row>
    <row r="595" spans="1:21" x14ac:dyDescent="0.3">
      <c r="A595" t="s">
        <v>1253</v>
      </c>
      <c r="B595" t="s">
        <v>1254</v>
      </c>
      <c r="C595" t="s">
        <v>111</v>
      </c>
      <c r="D595" t="s">
        <v>80</v>
      </c>
      <c r="E595">
        <v>50</v>
      </c>
      <c r="F595" t="str">
        <f t="shared" si="27"/>
        <v>41 to 50</v>
      </c>
      <c r="G595" t="s">
        <v>118</v>
      </c>
      <c r="H595" t="s">
        <v>119</v>
      </c>
      <c r="I595" t="s">
        <v>52</v>
      </c>
      <c r="J595">
        <v>18</v>
      </c>
      <c r="K595" t="str">
        <f t="shared" si="28"/>
        <v>11 to 20</v>
      </c>
      <c r="L595" s="1">
        <v>75</v>
      </c>
      <c r="M595" t="s">
        <v>2066</v>
      </c>
      <c r="O595">
        <v>3.8</v>
      </c>
      <c r="P595">
        <v>0</v>
      </c>
      <c r="Q595" t="s">
        <v>2077</v>
      </c>
      <c r="R595">
        <v>67</v>
      </c>
      <c r="S595" s="2">
        <v>0.67</v>
      </c>
      <c r="T595" s="2" t="str">
        <f t="shared" si="29"/>
        <v>61% to 70 %</v>
      </c>
      <c r="U595">
        <v>0.67</v>
      </c>
    </row>
    <row r="596" spans="1:21" x14ac:dyDescent="0.3">
      <c r="A596" t="s">
        <v>1255</v>
      </c>
      <c r="B596" t="s">
        <v>1256</v>
      </c>
      <c r="C596" t="s">
        <v>76</v>
      </c>
      <c r="D596" t="s">
        <v>80</v>
      </c>
      <c r="E596">
        <v>38</v>
      </c>
      <c r="F596" t="str">
        <f t="shared" si="27"/>
        <v>31 to 40</v>
      </c>
      <c r="G596" t="s">
        <v>37</v>
      </c>
      <c r="H596" t="s">
        <v>38</v>
      </c>
      <c r="I596" t="s">
        <v>39</v>
      </c>
      <c r="J596">
        <v>14</v>
      </c>
      <c r="K596" t="str">
        <f t="shared" si="28"/>
        <v>11 to 20</v>
      </c>
      <c r="L596" s="1">
        <v>100</v>
      </c>
      <c r="M596" t="s">
        <v>2070</v>
      </c>
      <c r="O596">
        <v>1.7</v>
      </c>
      <c r="P596" t="b">
        <v>0</v>
      </c>
      <c r="Q596" t="s">
        <v>2077</v>
      </c>
      <c r="R596">
        <v>0.66</v>
      </c>
      <c r="S596" s="2">
        <v>0.66</v>
      </c>
      <c r="T596" s="2" t="str">
        <f t="shared" si="29"/>
        <v>61% to 70 %</v>
      </c>
    </row>
    <row r="597" spans="1:21" x14ac:dyDescent="0.3">
      <c r="A597" t="s">
        <v>1257</v>
      </c>
      <c r="B597" t="s">
        <v>1258</v>
      </c>
      <c r="C597" t="s">
        <v>76</v>
      </c>
      <c r="D597" t="s">
        <v>80</v>
      </c>
      <c r="E597">
        <v>46</v>
      </c>
      <c r="F597" t="str">
        <f t="shared" si="27"/>
        <v>41 to 50</v>
      </c>
      <c r="G597" t="s">
        <v>42</v>
      </c>
      <c r="H597" t="s">
        <v>43</v>
      </c>
      <c r="I597" t="s">
        <v>47</v>
      </c>
      <c r="J597">
        <v>12</v>
      </c>
      <c r="K597" t="str">
        <f t="shared" si="28"/>
        <v>11 to 20</v>
      </c>
      <c r="L597" s="1">
        <v>20</v>
      </c>
      <c r="M597" t="s">
        <v>2072</v>
      </c>
      <c r="O597">
        <v>0</v>
      </c>
      <c r="P597" t="b">
        <v>0</v>
      </c>
      <c r="Q597" t="s">
        <v>2077</v>
      </c>
      <c r="R597">
        <v>0.89</v>
      </c>
      <c r="S597" s="2">
        <v>0.89</v>
      </c>
      <c r="T597" s="2" t="str">
        <f t="shared" si="29"/>
        <v>81% to 90%</v>
      </c>
    </row>
    <row r="598" spans="1:21" x14ac:dyDescent="0.3">
      <c r="A598" t="s">
        <v>1259</v>
      </c>
      <c r="B598" t="s">
        <v>1260</v>
      </c>
      <c r="C598" t="s">
        <v>111</v>
      </c>
      <c r="D598" t="s">
        <v>80</v>
      </c>
      <c r="E598">
        <v>36</v>
      </c>
      <c r="F598" t="str">
        <f t="shared" si="27"/>
        <v>31 to 40</v>
      </c>
      <c r="G598" t="s">
        <v>139</v>
      </c>
      <c r="H598" t="s">
        <v>59</v>
      </c>
      <c r="I598" t="s">
        <v>47</v>
      </c>
      <c r="J598">
        <v>9</v>
      </c>
      <c r="K598" t="str">
        <f t="shared" si="28"/>
        <v>0 to 10</v>
      </c>
      <c r="L598" s="1">
        <v>20</v>
      </c>
      <c r="M598" t="s">
        <v>2072</v>
      </c>
      <c r="O598">
        <v>0</v>
      </c>
      <c r="P598">
        <v>1</v>
      </c>
      <c r="Q598" t="s">
        <v>2076</v>
      </c>
      <c r="R598">
        <v>68</v>
      </c>
      <c r="S598" s="2">
        <v>0.68</v>
      </c>
      <c r="T598" s="2" t="str">
        <f t="shared" si="29"/>
        <v>61% to 70 %</v>
      </c>
      <c r="U598">
        <v>0.68</v>
      </c>
    </row>
    <row r="599" spans="1:21" x14ac:dyDescent="0.3">
      <c r="A599" t="s">
        <v>1261</v>
      </c>
      <c r="B599" t="s">
        <v>1262</v>
      </c>
      <c r="C599" t="s">
        <v>111</v>
      </c>
      <c r="D599" t="s">
        <v>80</v>
      </c>
      <c r="E599">
        <v>58</v>
      </c>
      <c r="F599" t="str">
        <f t="shared" si="27"/>
        <v>51 to 60</v>
      </c>
      <c r="G599" t="s">
        <v>31</v>
      </c>
      <c r="H599" t="s">
        <v>32</v>
      </c>
      <c r="I599" t="s">
        <v>33</v>
      </c>
      <c r="J599">
        <v>35</v>
      </c>
      <c r="K599" t="str">
        <f t="shared" si="28"/>
        <v>31 to 40</v>
      </c>
      <c r="L599" s="1">
        <v>50</v>
      </c>
      <c r="M599" t="s">
        <v>2068</v>
      </c>
      <c r="N599" t="s">
        <v>2071</v>
      </c>
      <c r="O599">
        <v>4.7</v>
      </c>
      <c r="P599" t="s">
        <v>67</v>
      </c>
      <c r="Q599" t="s">
        <v>2077</v>
      </c>
      <c r="R599">
        <v>0.7</v>
      </c>
      <c r="S599" s="2">
        <v>0.7</v>
      </c>
      <c r="T599" s="2" t="str">
        <f t="shared" si="29"/>
        <v>61% to 70 %</v>
      </c>
    </row>
    <row r="600" spans="1:21" x14ac:dyDescent="0.3">
      <c r="A600" t="s">
        <v>1263</v>
      </c>
      <c r="B600" t="s">
        <v>1264</v>
      </c>
      <c r="C600" t="s">
        <v>111</v>
      </c>
      <c r="D600" t="s">
        <v>80</v>
      </c>
      <c r="E600">
        <v>48</v>
      </c>
      <c r="F600" t="str">
        <f t="shared" si="27"/>
        <v>41 to 50</v>
      </c>
      <c r="G600" t="s">
        <v>46</v>
      </c>
      <c r="H600" t="s">
        <v>17</v>
      </c>
      <c r="I600" t="s">
        <v>47</v>
      </c>
      <c r="J600">
        <v>6</v>
      </c>
      <c r="K600" t="str">
        <f t="shared" si="28"/>
        <v>0 to 10</v>
      </c>
      <c r="L600" s="1">
        <v>75</v>
      </c>
      <c r="M600" t="s">
        <v>2068</v>
      </c>
      <c r="N600" t="s">
        <v>2066</v>
      </c>
      <c r="O600">
        <v>2.5</v>
      </c>
      <c r="R600">
        <v>0.92</v>
      </c>
      <c r="S600" s="2">
        <v>0.92</v>
      </c>
      <c r="T600" s="2" t="str">
        <f t="shared" si="29"/>
        <v>91% to 100%</v>
      </c>
    </row>
    <row r="601" spans="1:21" x14ac:dyDescent="0.3">
      <c r="A601" t="s">
        <v>1265</v>
      </c>
      <c r="B601" t="s">
        <v>1266</v>
      </c>
      <c r="C601" t="s">
        <v>36</v>
      </c>
      <c r="D601" t="s">
        <v>20</v>
      </c>
      <c r="E601">
        <v>46</v>
      </c>
      <c r="F601" t="str">
        <f t="shared" si="27"/>
        <v>41 to 50</v>
      </c>
      <c r="G601" t="s">
        <v>58</v>
      </c>
      <c r="H601" t="s">
        <v>59</v>
      </c>
      <c r="I601" t="s">
        <v>60</v>
      </c>
      <c r="J601">
        <v>9</v>
      </c>
      <c r="K601" t="str">
        <f t="shared" si="28"/>
        <v>0 to 10</v>
      </c>
      <c r="L601" s="1">
        <v>20</v>
      </c>
      <c r="M601" t="s">
        <v>2065</v>
      </c>
      <c r="N601" t="s">
        <v>2072</v>
      </c>
      <c r="O601">
        <v>0</v>
      </c>
      <c r="P601" t="s">
        <v>53</v>
      </c>
      <c r="Q601" t="s">
        <v>2077</v>
      </c>
      <c r="R601">
        <v>0.82</v>
      </c>
      <c r="S601" s="2">
        <v>0.82</v>
      </c>
      <c r="T601" s="2" t="str">
        <f t="shared" si="29"/>
        <v>81% to 90%</v>
      </c>
    </row>
    <row r="602" spans="1:21" x14ac:dyDescent="0.3">
      <c r="A602" t="s">
        <v>1267</v>
      </c>
      <c r="B602" t="s">
        <v>1268</v>
      </c>
      <c r="C602" t="s">
        <v>111</v>
      </c>
      <c r="D602" t="s">
        <v>80</v>
      </c>
      <c r="E602">
        <v>37</v>
      </c>
      <c r="F602" t="str">
        <f t="shared" si="27"/>
        <v>31 to 40</v>
      </c>
      <c r="G602" t="s">
        <v>91</v>
      </c>
      <c r="H602" t="s">
        <v>59</v>
      </c>
      <c r="I602" t="s">
        <v>79</v>
      </c>
      <c r="J602">
        <v>9</v>
      </c>
      <c r="K602" t="str">
        <f t="shared" si="28"/>
        <v>0 to 10</v>
      </c>
      <c r="O602">
        <v>0</v>
      </c>
      <c r="P602">
        <v>1</v>
      </c>
      <c r="Q602" t="s">
        <v>2076</v>
      </c>
      <c r="R602">
        <v>0.89</v>
      </c>
      <c r="S602" s="2">
        <v>0.89</v>
      </c>
      <c r="T602" s="2" t="str">
        <f t="shared" si="29"/>
        <v>81% to 90%</v>
      </c>
    </row>
    <row r="603" spans="1:21" x14ac:dyDescent="0.3">
      <c r="A603" t="s">
        <v>1269</v>
      </c>
      <c r="B603" t="s">
        <v>1270</v>
      </c>
      <c r="C603" t="s">
        <v>76</v>
      </c>
      <c r="D603" t="s">
        <v>80</v>
      </c>
      <c r="E603">
        <v>48</v>
      </c>
      <c r="F603" t="str">
        <f t="shared" si="27"/>
        <v>41 to 50</v>
      </c>
      <c r="G603" t="s">
        <v>46</v>
      </c>
      <c r="H603" t="s">
        <v>17</v>
      </c>
      <c r="I603" t="s">
        <v>52</v>
      </c>
      <c r="J603">
        <v>5</v>
      </c>
      <c r="K603" t="str">
        <f t="shared" si="28"/>
        <v>0 to 10</v>
      </c>
      <c r="L603" s="1">
        <v>30</v>
      </c>
      <c r="M603" t="s">
        <v>2069</v>
      </c>
      <c r="O603">
        <v>1.5</v>
      </c>
      <c r="P603" t="s">
        <v>53</v>
      </c>
      <c r="Q603" t="s">
        <v>2077</v>
      </c>
      <c r="T603" s="2" t="str">
        <f t="shared" si="29"/>
        <v/>
      </c>
    </row>
    <row r="604" spans="1:21" x14ac:dyDescent="0.3">
      <c r="A604" t="s">
        <v>1271</v>
      </c>
      <c r="B604" t="s">
        <v>1272</v>
      </c>
      <c r="C604" t="s">
        <v>111</v>
      </c>
      <c r="D604" t="s">
        <v>80</v>
      </c>
      <c r="E604">
        <v>44</v>
      </c>
      <c r="F604" t="str">
        <f t="shared" si="27"/>
        <v>41 to 50</v>
      </c>
      <c r="G604" t="s">
        <v>104</v>
      </c>
      <c r="H604" t="s">
        <v>105</v>
      </c>
      <c r="I604" t="s">
        <v>47</v>
      </c>
      <c r="J604">
        <v>19</v>
      </c>
      <c r="K604" t="str">
        <f t="shared" si="28"/>
        <v>11 to 20</v>
      </c>
      <c r="L604" s="1">
        <v>40</v>
      </c>
      <c r="M604" t="s">
        <v>2065</v>
      </c>
      <c r="N604" t="s">
        <v>2067</v>
      </c>
      <c r="O604">
        <v>4.9000000000000004</v>
      </c>
      <c r="P604" t="s">
        <v>53</v>
      </c>
      <c r="Q604" t="s">
        <v>2077</v>
      </c>
      <c r="R604">
        <v>1</v>
      </c>
      <c r="S604" s="2">
        <v>1</v>
      </c>
      <c r="T604" s="2" t="str">
        <f t="shared" si="29"/>
        <v>91% to 100%</v>
      </c>
    </row>
    <row r="605" spans="1:21" x14ac:dyDescent="0.3">
      <c r="A605" t="s">
        <v>1273</v>
      </c>
      <c r="B605" t="s">
        <v>1274</v>
      </c>
      <c r="C605" t="s">
        <v>76</v>
      </c>
      <c r="D605" t="s">
        <v>80</v>
      </c>
      <c r="E605">
        <v>47</v>
      </c>
      <c r="F605" t="str">
        <f t="shared" si="27"/>
        <v>41 to 50</v>
      </c>
      <c r="G605" t="s">
        <v>83</v>
      </c>
      <c r="H605" t="s">
        <v>84</v>
      </c>
      <c r="I605" t="s">
        <v>60</v>
      </c>
      <c r="J605">
        <v>16</v>
      </c>
      <c r="K605" t="str">
        <f t="shared" si="28"/>
        <v>11 to 20</v>
      </c>
      <c r="L605" s="1">
        <v>50</v>
      </c>
      <c r="M605" t="s">
        <v>2071</v>
      </c>
      <c r="O605">
        <v>1.9</v>
      </c>
      <c r="P605">
        <v>0</v>
      </c>
      <c r="Q605" t="s">
        <v>2077</v>
      </c>
      <c r="R605">
        <v>0.71</v>
      </c>
      <c r="S605" s="2">
        <v>0.71</v>
      </c>
      <c r="T605" s="2" t="str">
        <f t="shared" si="29"/>
        <v>71% to 80%</v>
      </c>
    </row>
    <row r="606" spans="1:21" x14ac:dyDescent="0.3">
      <c r="A606" t="s">
        <v>1275</v>
      </c>
      <c r="B606" t="s">
        <v>1276</v>
      </c>
      <c r="C606" t="s">
        <v>111</v>
      </c>
      <c r="D606" t="s">
        <v>80</v>
      </c>
      <c r="E606">
        <v>36</v>
      </c>
      <c r="F606" t="str">
        <f t="shared" si="27"/>
        <v>31 to 40</v>
      </c>
      <c r="G606" t="s">
        <v>104</v>
      </c>
      <c r="H606" t="s">
        <v>105</v>
      </c>
      <c r="I606" t="s">
        <v>60</v>
      </c>
      <c r="J606">
        <v>11</v>
      </c>
      <c r="K606" t="str">
        <f t="shared" si="28"/>
        <v>11 to 20</v>
      </c>
      <c r="L606" s="1">
        <v>30</v>
      </c>
      <c r="M606" t="s">
        <v>2065</v>
      </c>
      <c r="N606" t="s">
        <v>2069</v>
      </c>
      <c r="O606">
        <v>0</v>
      </c>
      <c r="P606" t="b">
        <v>1</v>
      </c>
      <c r="Q606" t="s">
        <v>2076</v>
      </c>
      <c r="R606">
        <v>0.63</v>
      </c>
      <c r="S606" s="2">
        <v>0.63</v>
      </c>
      <c r="T606" s="2" t="str">
        <f t="shared" si="29"/>
        <v>61% to 70 %</v>
      </c>
    </row>
    <row r="607" spans="1:21" x14ac:dyDescent="0.3">
      <c r="A607" t="s">
        <v>1277</v>
      </c>
      <c r="B607" t="s">
        <v>1278</v>
      </c>
      <c r="C607" t="s">
        <v>76</v>
      </c>
      <c r="D607" t="s">
        <v>80</v>
      </c>
      <c r="E607">
        <v>50</v>
      </c>
      <c r="F607" t="str">
        <f t="shared" si="27"/>
        <v>41 to 50</v>
      </c>
      <c r="G607" t="s">
        <v>42</v>
      </c>
      <c r="H607" t="s">
        <v>43</v>
      </c>
      <c r="I607" t="s">
        <v>39</v>
      </c>
      <c r="J607">
        <v>12</v>
      </c>
      <c r="K607" t="str">
        <f t="shared" si="28"/>
        <v>11 to 20</v>
      </c>
      <c r="L607" s="1">
        <v>75</v>
      </c>
      <c r="M607" t="s">
        <v>2065</v>
      </c>
      <c r="N607" t="s">
        <v>2066</v>
      </c>
      <c r="O607">
        <v>0</v>
      </c>
      <c r="P607" t="b">
        <v>0</v>
      </c>
      <c r="Q607" t="s">
        <v>2077</v>
      </c>
      <c r="R607">
        <v>75</v>
      </c>
      <c r="S607" s="2">
        <v>0.75</v>
      </c>
      <c r="T607" s="2" t="str">
        <f t="shared" si="29"/>
        <v>71% to 80%</v>
      </c>
      <c r="U607">
        <v>0.75</v>
      </c>
    </row>
    <row r="608" spans="1:21" x14ac:dyDescent="0.3">
      <c r="A608" t="s">
        <v>1279</v>
      </c>
      <c r="B608" t="s">
        <v>1280</v>
      </c>
      <c r="C608" t="s">
        <v>111</v>
      </c>
      <c r="D608" t="s">
        <v>80</v>
      </c>
      <c r="E608">
        <v>39</v>
      </c>
      <c r="F608" t="str">
        <f t="shared" si="27"/>
        <v>31 to 40</v>
      </c>
      <c r="G608" t="s">
        <v>50</v>
      </c>
      <c r="H608" t="s">
        <v>51</v>
      </c>
      <c r="I608" t="s">
        <v>79</v>
      </c>
      <c r="J608">
        <v>20</v>
      </c>
      <c r="K608" t="str">
        <f t="shared" si="28"/>
        <v>11 to 20</v>
      </c>
      <c r="L608" s="1">
        <v>75</v>
      </c>
      <c r="M608" t="s">
        <v>2065</v>
      </c>
      <c r="N608" t="s">
        <v>2066</v>
      </c>
      <c r="O608">
        <v>2.7</v>
      </c>
      <c r="P608">
        <v>1</v>
      </c>
      <c r="Q608" t="s">
        <v>2076</v>
      </c>
      <c r="R608">
        <v>0.67</v>
      </c>
      <c r="S608" s="2">
        <v>0.67</v>
      </c>
      <c r="T608" s="2" t="str">
        <f t="shared" si="29"/>
        <v>61% to 70 %</v>
      </c>
    </row>
    <row r="609" spans="1:21" x14ac:dyDescent="0.3">
      <c r="A609" t="s">
        <v>1281</v>
      </c>
      <c r="B609" t="s">
        <v>1282</v>
      </c>
      <c r="C609" t="s">
        <v>111</v>
      </c>
      <c r="D609" t="s">
        <v>80</v>
      </c>
      <c r="E609">
        <v>51</v>
      </c>
      <c r="F609" t="str">
        <f t="shared" si="27"/>
        <v>51 to 60</v>
      </c>
      <c r="G609" t="s">
        <v>58</v>
      </c>
      <c r="H609" t="s">
        <v>59</v>
      </c>
      <c r="I609" t="s">
        <v>47</v>
      </c>
      <c r="J609">
        <v>30</v>
      </c>
      <c r="K609" t="str">
        <f t="shared" si="28"/>
        <v>21 to 30</v>
      </c>
      <c r="L609" s="1">
        <v>75</v>
      </c>
      <c r="M609" t="s">
        <v>2066</v>
      </c>
      <c r="P609" t="b">
        <v>1</v>
      </c>
      <c r="Q609" t="s">
        <v>2076</v>
      </c>
      <c r="R609">
        <v>0.74</v>
      </c>
      <c r="S609" s="2">
        <v>0.74</v>
      </c>
      <c r="T609" s="2" t="str">
        <f t="shared" si="29"/>
        <v>71% to 80%</v>
      </c>
    </row>
    <row r="610" spans="1:21" x14ac:dyDescent="0.3">
      <c r="A610" t="s">
        <v>1283</v>
      </c>
      <c r="B610" t="s">
        <v>1284</v>
      </c>
      <c r="C610" t="s">
        <v>76</v>
      </c>
      <c r="D610" t="s">
        <v>80</v>
      </c>
      <c r="E610">
        <v>34</v>
      </c>
      <c r="F610" t="str">
        <f t="shared" si="27"/>
        <v>31 to 40</v>
      </c>
      <c r="G610" t="s">
        <v>23</v>
      </c>
      <c r="H610" t="s">
        <v>24</v>
      </c>
      <c r="I610" t="s">
        <v>33</v>
      </c>
      <c r="J610">
        <v>5</v>
      </c>
      <c r="K610" t="str">
        <f t="shared" si="28"/>
        <v>0 to 10</v>
      </c>
      <c r="L610" s="1">
        <v>20</v>
      </c>
      <c r="M610" t="s">
        <v>2068</v>
      </c>
      <c r="N610" t="s">
        <v>2072</v>
      </c>
      <c r="O610">
        <v>2.2000000000000002</v>
      </c>
      <c r="P610" t="s">
        <v>96</v>
      </c>
      <c r="Q610" t="s">
        <v>2076</v>
      </c>
      <c r="R610">
        <v>0.8</v>
      </c>
      <c r="S610" s="2">
        <v>0.8</v>
      </c>
      <c r="T610" s="2" t="str">
        <f t="shared" si="29"/>
        <v>71% to 80%</v>
      </c>
    </row>
    <row r="611" spans="1:21" x14ac:dyDescent="0.3">
      <c r="A611" t="s">
        <v>1285</v>
      </c>
      <c r="B611" t="s">
        <v>1286</v>
      </c>
      <c r="C611" t="s">
        <v>111</v>
      </c>
      <c r="D611" t="s">
        <v>80</v>
      </c>
      <c r="E611">
        <v>50</v>
      </c>
      <c r="F611" t="str">
        <f t="shared" si="27"/>
        <v>41 to 50</v>
      </c>
      <c r="G611" t="s">
        <v>58</v>
      </c>
      <c r="H611" t="s">
        <v>59</v>
      </c>
      <c r="I611" t="s">
        <v>66</v>
      </c>
      <c r="J611">
        <v>11</v>
      </c>
      <c r="K611" t="str">
        <f t="shared" si="28"/>
        <v>11 to 20</v>
      </c>
      <c r="O611">
        <v>4.9000000000000004</v>
      </c>
      <c r="P611">
        <v>1</v>
      </c>
      <c r="Q611" t="s">
        <v>2076</v>
      </c>
      <c r="R611">
        <v>0.88</v>
      </c>
      <c r="S611" s="2">
        <v>0.88</v>
      </c>
      <c r="T611" s="2" t="str">
        <f t="shared" si="29"/>
        <v>81% to 90%</v>
      </c>
    </row>
    <row r="612" spans="1:21" x14ac:dyDescent="0.3">
      <c r="A612" t="s">
        <v>1287</v>
      </c>
      <c r="B612" t="s">
        <v>1288</v>
      </c>
      <c r="C612" t="s">
        <v>76</v>
      </c>
      <c r="D612" t="s">
        <v>80</v>
      </c>
      <c r="E612">
        <v>30</v>
      </c>
      <c r="F612" t="str">
        <f t="shared" si="27"/>
        <v>21 to 30</v>
      </c>
      <c r="G612" t="s">
        <v>23</v>
      </c>
      <c r="H612" t="s">
        <v>24</v>
      </c>
      <c r="I612" t="s">
        <v>52</v>
      </c>
      <c r="J612">
        <v>6</v>
      </c>
      <c r="K612" t="str">
        <f t="shared" si="28"/>
        <v>0 to 10</v>
      </c>
      <c r="L612" s="1">
        <v>75</v>
      </c>
      <c r="M612" t="s">
        <v>2066</v>
      </c>
      <c r="O612">
        <v>0</v>
      </c>
      <c r="P612" t="b">
        <v>0</v>
      </c>
      <c r="Q612" t="s">
        <v>2077</v>
      </c>
      <c r="R612">
        <v>0.8</v>
      </c>
      <c r="S612" s="2">
        <v>0.8</v>
      </c>
      <c r="T612" s="2" t="str">
        <f t="shared" si="29"/>
        <v>71% to 80%</v>
      </c>
    </row>
    <row r="613" spans="1:21" x14ac:dyDescent="0.3">
      <c r="A613" t="s">
        <v>1289</v>
      </c>
      <c r="B613" t="s">
        <v>1290</v>
      </c>
      <c r="C613" t="s">
        <v>111</v>
      </c>
      <c r="D613" t="s">
        <v>80</v>
      </c>
      <c r="E613">
        <v>38</v>
      </c>
      <c r="F613" t="str">
        <f t="shared" si="27"/>
        <v>31 to 40</v>
      </c>
      <c r="G613" t="s">
        <v>50</v>
      </c>
      <c r="H613" t="s">
        <v>51</v>
      </c>
      <c r="I613" t="s">
        <v>66</v>
      </c>
      <c r="J613">
        <v>7</v>
      </c>
      <c r="K613" t="str">
        <f t="shared" si="28"/>
        <v>0 to 10</v>
      </c>
      <c r="L613" s="1">
        <v>75</v>
      </c>
      <c r="M613" t="s">
        <v>2066</v>
      </c>
      <c r="P613">
        <v>0</v>
      </c>
      <c r="Q613" t="s">
        <v>2077</v>
      </c>
      <c r="T613" s="2" t="str">
        <f t="shared" si="29"/>
        <v/>
      </c>
    </row>
    <row r="614" spans="1:21" x14ac:dyDescent="0.3">
      <c r="A614" t="s">
        <v>1291</v>
      </c>
      <c r="B614" t="s">
        <v>1292</v>
      </c>
      <c r="C614" t="s">
        <v>76</v>
      </c>
      <c r="D614" t="s">
        <v>80</v>
      </c>
      <c r="E614">
        <v>59</v>
      </c>
      <c r="F614" t="str">
        <f t="shared" si="27"/>
        <v>51 to 60</v>
      </c>
      <c r="G614" t="s">
        <v>104</v>
      </c>
      <c r="H614" t="s">
        <v>105</v>
      </c>
      <c r="I614" t="s">
        <v>108</v>
      </c>
      <c r="J614">
        <v>14</v>
      </c>
      <c r="K614" t="str">
        <f t="shared" si="28"/>
        <v>11 to 20</v>
      </c>
      <c r="L614" s="1">
        <v>30</v>
      </c>
      <c r="M614" t="s">
        <v>2065</v>
      </c>
      <c r="N614" t="s">
        <v>2069</v>
      </c>
      <c r="O614">
        <v>2.4</v>
      </c>
      <c r="P614" t="b">
        <v>0</v>
      </c>
      <c r="Q614" t="s">
        <v>2077</v>
      </c>
      <c r="T614" s="2" t="str">
        <f t="shared" si="29"/>
        <v/>
      </c>
    </row>
    <row r="615" spans="1:21" x14ac:dyDescent="0.3">
      <c r="A615" t="s">
        <v>1293</v>
      </c>
      <c r="B615" t="s">
        <v>1292</v>
      </c>
      <c r="C615" t="s">
        <v>76</v>
      </c>
      <c r="D615" t="s">
        <v>80</v>
      </c>
      <c r="E615">
        <v>52</v>
      </c>
      <c r="F615" t="str">
        <f t="shared" si="27"/>
        <v>51 to 60</v>
      </c>
      <c r="G615" t="s">
        <v>91</v>
      </c>
      <c r="H615" t="s">
        <v>59</v>
      </c>
      <c r="I615" t="s">
        <v>63</v>
      </c>
      <c r="J615">
        <v>25</v>
      </c>
      <c r="K615" t="str">
        <f t="shared" si="28"/>
        <v>21 to 30</v>
      </c>
      <c r="L615" s="1">
        <v>100</v>
      </c>
      <c r="M615" t="s">
        <v>2070</v>
      </c>
      <c r="O615">
        <v>4.8</v>
      </c>
      <c r="P615" t="s">
        <v>53</v>
      </c>
      <c r="Q615" t="s">
        <v>2077</v>
      </c>
      <c r="T615" s="2" t="str">
        <f t="shared" si="29"/>
        <v/>
      </c>
    </row>
    <row r="616" spans="1:21" x14ac:dyDescent="0.3">
      <c r="A616" t="s">
        <v>1294</v>
      </c>
      <c r="B616" t="s">
        <v>1295</v>
      </c>
      <c r="C616" t="s">
        <v>76</v>
      </c>
      <c r="D616" t="s">
        <v>80</v>
      </c>
      <c r="E616">
        <v>26</v>
      </c>
      <c r="F616" t="str">
        <f t="shared" si="27"/>
        <v>21 to 30</v>
      </c>
      <c r="G616" t="s">
        <v>23</v>
      </c>
      <c r="H616" t="s">
        <v>24</v>
      </c>
      <c r="I616" t="s">
        <v>79</v>
      </c>
      <c r="J616">
        <v>1</v>
      </c>
      <c r="K616" t="str">
        <f t="shared" si="28"/>
        <v>0 to 10</v>
      </c>
      <c r="L616" s="1">
        <v>75</v>
      </c>
      <c r="M616" t="s">
        <v>2066</v>
      </c>
      <c r="O616">
        <v>3</v>
      </c>
      <c r="P616">
        <v>1</v>
      </c>
      <c r="Q616" t="s">
        <v>2076</v>
      </c>
      <c r="T616" s="2" t="str">
        <f t="shared" si="29"/>
        <v/>
      </c>
    </row>
    <row r="617" spans="1:21" x14ac:dyDescent="0.3">
      <c r="A617" t="s">
        <v>1296</v>
      </c>
      <c r="B617" t="s">
        <v>1297</v>
      </c>
      <c r="C617" t="s">
        <v>15</v>
      </c>
      <c r="D617" t="s">
        <v>20</v>
      </c>
      <c r="E617">
        <v>21</v>
      </c>
      <c r="F617" t="str">
        <f t="shared" si="27"/>
        <v>21 to 30</v>
      </c>
      <c r="G617" t="s">
        <v>254</v>
      </c>
      <c r="H617" t="s">
        <v>255</v>
      </c>
      <c r="I617" t="s">
        <v>66</v>
      </c>
      <c r="J617">
        <v>2</v>
      </c>
      <c r="K617" t="str">
        <f t="shared" si="28"/>
        <v>0 to 10</v>
      </c>
      <c r="L617" s="1">
        <v>100</v>
      </c>
      <c r="M617" t="s">
        <v>2068</v>
      </c>
      <c r="N617" t="s">
        <v>2070</v>
      </c>
      <c r="O617">
        <v>1.6</v>
      </c>
      <c r="P617" t="s">
        <v>19</v>
      </c>
      <c r="Q617" t="s">
        <v>2076</v>
      </c>
      <c r="R617">
        <v>0.97</v>
      </c>
      <c r="S617" s="2">
        <v>0.97</v>
      </c>
      <c r="T617" s="2" t="str">
        <f t="shared" si="29"/>
        <v>91% to 100%</v>
      </c>
    </row>
    <row r="618" spans="1:21" x14ac:dyDescent="0.3">
      <c r="A618" t="s">
        <v>1298</v>
      </c>
      <c r="B618" t="s">
        <v>1299</v>
      </c>
      <c r="C618" t="s">
        <v>15</v>
      </c>
      <c r="D618" t="s">
        <v>20</v>
      </c>
      <c r="E618">
        <v>55</v>
      </c>
      <c r="F618" t="str">
        <f t="shared" si="27"/>
        <v>51 to 60</v>
      </c>
      <c r="G618" t="s">
        <v>50</v>
      </c>
      <c r="H618" t="s">
        <v>51</v>
      </c>
      <c r="I618" t="s">
        <v>52</v>
      </c>
      <c r="J618">
        <v>2</v>
      </c>
      <c r="K618" t="str">
        <f t="shared" si="28"/>
        <v>0 to 10</v>
      </c>
      <c r="L618" s="1">
        <v>50</v>
      </c>
      <c r="M618" t="s">
        <v>2065</v>
      </c>
      <c r="N618" t="s">
        <v>2071</v>
      </c>
      <c r="O618">
        <v>3.9</v>
      </c>
      <c r="P618" t="s">
        <v>19</v>
      </c>
      <c r="Q618" t="s">
        <v>2076</v>
      </c>
      <c r="R618">
        <v>0.88</v>
      </c>
      <c r="S618" s="2">
        <v>0.88</v>
      </c>
      <c r="T618" s="2" t="str">
        <f t="shared" si="29"/>
        <v>81% to 90%</v>
      </c>
    </row>
    <row r="619" spans="1:21" x14ac:dyDescent="0.3">
      <c r="A619" t="s">
        <v>1300</v>
      </c>
      <c r="B619" t="s">
        <v>1301</v>
      </c>
      <c r="C619" t="s">
        <v>111</v>
      </c>
      <c r="D619" t="s">
        <v>80</v>
      </c>
      <c r="E619">
        <v>41</v>
      </c>
      <c r="F619" t="str">
        <f t="shared" si="27"/>
        <v>41 to 50</v>
      </c>
      <c r="G619" t="s">
        <v>87</v>
      </c>
      <c r="H619" t="s">
        <v>88</v>
      </c>
      <c r="I619" t="s">
        <v>18</v>
      </c>
      <c r="J619">
        <v>21</v>
      </c>
      <c r="K619" t="str">
        <f t="shared" si="28"/>
        <v>21 to 30</v>
      </c>
      <c r="O619">
        <v>0</v>
      </c>
      <c r="P619" t="s">
        <v>96</v>
      </c>
      <c r="Q619" t="s">
        <v>2076</v>
      </c>
      <c r="T619" s="2" t="str">
        <f t="shared" si="29"/>
        <v/>
      </c>
    </row>
    <row r="620" spans="1:21" x14ac:dyDescent="0.3">
      <c r="A620" t="s">
        <v>1302</v>
      </c>
      <c r="B620" t="s">
        <v>1303</v>
      </c>
      <c r="C620" t="s">
        <v>76</v>
      </c>
      <c r="D620" t="s">
        <v>80</v>
      </c>
      <c r="E620">
        <v>49</v>
      </c>
      <c r="F620" t="str">
        <f t="shared" si="27"/>
        <v>41 to 50</v>
      </c>
      <c r="G620" t="s">
        <v>42</v>
      </c>
      <c r="H620" t="s">
        <v>43</v>
      </c>
      <c r="I620" t="s">
        <v>52</v>
      </c>
      <c r="J620">
        <v>24</v>
      </c>
      <c r="K620" t="str">
        <f t="shared" si="28"/>
        <v>21 to 30</v>
      </c>
      <c r="L620" s="1">
        <v>100</v>
      </c>
      <c r="M620" t="s">
        <v>2070</v>
      </c>
      <c r="O620">
        <v>3.6</v>
      </c>
      <c r="P620" t="b">
        <v>1</v>
      </c>
      <c r="Q620" t="s">
        <v>2076</v>
      </c>
      <c r="T620" s="2" t="str">
        <f t="shared" si="29"/>
        <v/>
      </c>
    </row>
    <row r="621" spans="1:21" x14ac:dyDescent="0.3">
      <c r="A621" t="s">
        <v>1304</v>
      </c>
      <c r="B621" t="s">
        <v>1305</v>
      </c>
      <c r="C621" t="s">
        <v>76</v>
      </c>
      <c r="D621" t="s">
        <v>80</v>
      </c>
      <c r="E621">
        <v>57</v>
      </c>
      <c r="F621" t="str">
        <f t="shared" si="27"/>
        <v>51 to 60</v>
      </c>
      <c r="G621" t="s">
        <v>37</v>
      </c>
      <c r="H621" t="s">
        <v>38</v>
      </c>
      <c r="I621" t="s">
        <v>33</v>
      </c>
      <c r="J621">
        <v>2</v>
      </c>
      <c r="K621" t="str">
        <f t="shared" si="28"/>
        <v>0 to 10</v>
      </c>
      <c r="L621" s="1">
        <v>40</v>
      </c>
      <c r="M621" t="s">
        <v>2067</v>
      </c>
      <c r="O621">
        <v>0</v>
      </c>
      <c r="P621" t="b">
        <v>0</v>
      </c>
      <c r="Q621" t="s">
        <v>2077</v>
      </c>
      <c r="R621">
        <v>0.6</v>
      </c>
      <c r="S621" s="2">
        <v>0.6</v>
      </c>
      <c r="T621" s="2" t="str">
        <f t="shared" si="29"/>
        <v>50% to 60%</v>
      </c>
    </row>
    <row r="622" spans="1:21" x14ac:dyDescent="0.3">
      <c r="A622" t="s">
        <v>1306</v>
      </c>
      <c r="B622" t="s">
        <v>1307</v>
      </c>
      <c r="C622" t="s">
        <v>111</v>
      </c>
      <c r="D622" t="s">
        <v>80</v>
      </c>
      <c r="E622">
        <v>26</v>
      </c>
      <c r="F622" t="str">
        <f t="shared" si="27"/>
        <v>21 to 30</v>
      </c>
      <c r="G622" t="s">
        <v>50</v>
      </c>
      <c r="H622" t="s">
        <v>51</v>
      </c>
      <c r="I622" t="s">
        <v>47</v>
      </c>
      <c r="J622">
        <v>2</v>
      </c>
      <c r="K622" t="str">
        <f t="shared" si="28"/>
        <v>0 to 10</v>
      </c>
      <c r="L622" s="1">
        <v>40</v>
      </c>
      <c r="M622" t="s">
        <v>2067</v>
      </c>
      <c r="O622">
        <v>0</v>
      </c>
      <c r="R622">
        <v>0.66</v>
      </c>
      <c r="S622" s="2">
        <v>0.66</v>
      </c>
      <c r="T622" s="2" t="str">
        <f t="shared" si="29"/>
        <v>61% to 70 %</v>
      </c>
    </row>
    <row r="623" spans="1:21" x14ac:dyDescent="0.3">
      <c r="A623" t="s">
        <v>1308</v>
      </c>
      <c r="B623" t="s">
        <v>1309</v>
      </c>
      <c r="C623" t="s">
        <v>76</v>
      </c>
      <c r="D623" t="s">
        <v>80</v>
      </c>
      <c r="E623">
        <v>41</v>
      </c>
      <c r="F623" t="str">
        <f t="shared" si="27"/>
        <v>41 to 50</v>
      </c>
      <c r="G623" t="s">
        <v>104</v>
      </c>
      <c r="H623" t="s">
        <v>105</v>
      </c>
      <c r="I623" t="s">
        <v>33</v>
      </c>
      <c r="J623">
        <v>14</v>
      </c>
      <c r="K623" t="str">
        <f t="shared" si="28"/>
        <v>11 to 20</v>
      </c>
      <c r="L623" s="1">
        <v>75</v>
      </c>
      <c r="M623" t="s">
        <v>2068</v>
      </c>
      <c r="N623" t="s">
        <v>2066</v>
      </c>
      <c r="O623">
        <v>1.2</v>
      </c>
      <c r="P623">
        <v>0</v>
      </c>
      <c r="Q623" t="s">
        <v>2077</v>
      </c>
      <c r="T623" s="2" t="str">
        <f t="shared" si="29"/>
        <v/>
      </c>
    </row>
    <row r="624" spans="1:21" x14ac:dyDescent="0.3">
      <c r="A624" t="s">
        <v>1310</v>
      </c>
      <c r="B624" t="s">
        <v>1311</v>
      </c>
      <c r="C624" t="s">
        <v>111</v>
      </c>
      <c r="D624" t="s">
        <v>80</v>
      </c>
      <c r="E624">
        <v>54</v>
      </c>
      <c r="F624" t="str">
        <f t="shared" si="27"/>
        <v>51 to 60</v>
      </c>
      <c r="G624" t="s">
        <v>58</v>
      </c>
      <c r="H624" t="s">
        <v>59</v>
      </c>
      <c r="I624" t="s">
        <v>33</v>
      </c>
      <c r="J624">
        <v>15</v>
      </c>
      <c r="K624" t="str">
        <f t="shared" si="28"/>
        <v>11 to 20</v>
      </c>
      <c r="L624" s="1">
        <v>40</v>
      </c>
      <c r="M624" t="s">
        <v>2067</v>
      </c>
      <c r="O624">
        <v>4.0999999999999996</v>
      </c>
      <c r="P624" t="b">
        <v>1</v>
      </c>
      <c r="Q624" t="s">
        <v>2076</v>
      </c>
      <c r="R624">
        <v>71</v>
      </c>
      <c r="S624" s="2">
        <v>0.71</v>
      </c>
      <c r="T624" s="2" t="str">
        <f t="shared" si="29"/>
        <v>71% to 80%</v>
      </c>
      <c r="U624">
        <v>0.71</v>
      </c>
    </row>
    <row r="625" spans="1:21" x14ac:dyDescent="0.3">
      <c r="A625" t="s">
        <v>1312</v>
      </c>
      <c r="B625" t="s">
        <v>1313</v>
      </c>
      <c r="C625" t="s">
        <v>15</v>
      </c>
      <c r="D625" t="s">
        <v>20</v>
      </c>
      <c r="E625">
        <v>31</v>
      </c>
      <c r="F625" t="str">
        <f t="shared" si="27"/>
        <v>31 to 40</v>
      </c>
      <c r="G625" t="s">
        <v>104</v>
      </c>
      <c r="H625" t="s">
        <v>105</v>
      </c>
      <c r="I625" t="s">
        <v>63</v>
      </c>
      <c r="J625">
        <v>2</v>
      </c>
      <c r="K625" t="str">
        <f t="shared" si="28"/>
        <v>0 to 10</v>
      </c>
      <c r="L625" s="1">
        <v>50</v>
      </c>
      <c r="M625" t="s">
        <v>2071</v>
      </c>
      <c r="O625">
        <v>3.9</v>
      </c>
      <c r="P625">
        <v>0</v>
      </c>
      <c r="Q625" t="s">
        <v>2077</v>
      </c>
      <c r="T625" s="2" t="str">
        <f t="shared" si="29"/>
        <v/>
      </c>
    </row>
    <row r="626" spans="1:21" x14ac:dyDescent="0.3">
      <c r="A626" t="s">
        <v>1314</v>
      </c>
      <c r="B626" t="s">
        <v>1315</v>
      </c>
      <c r="C626" t="s">
        <v>76</v>
      </c>
      <c r="D626" t="s">
        <v>80</v>
      </c>
      <c r="E626">
        <v>53</v>
      </c>
      <c r="F626" t="str">
        <f t="shared" si="27"/>
        <v>51 to 60</v>
      </c>
      <c r="G626" t="s">
        <v>27</v>
      </c>
      <c r="H626" t="s">
        <v>28</v>
      </c>
      <c r="I626" t="s">
        <v>39</v>
      </c>
      <c r="J626">
        <v>27</v>
      </c>
      <c r="K626" t="str">
        <f t="shared" si="28"/>
        <v>21 to 30</v>
      </c>
      <c r="L626" s="1">
        <v>30</v>
      </c>
      <c r="M626" t="s">
        <v>2069</v>
      </c>
      <c r="O626">
        <v>4.8</v>
      </c>
      <c r="P626">
        <v>0</v>
      </c>
      <c r="Q626" t="s">
        <v>2077</v>
      </c>
      <c r="R626">
        <v>0.83</v>
      </c>
      <c r="S626" s="2">
        <v>0.83</v>
      </c>
      <c r="T626" s="2" t="str">
        <f t="shared" si="29"/>
        <v>81% to 90%</v>
      </c>
    </row>
    <row r="627" spans="1:21" x14ac:dyDescent="0.3">
      <c r="A627" t="s">
        <v>1316</v>
      </c>
      <c r="B627" t="s">
        <v>1317</v>
      </c>
      <c r="C627" t="s">
        <v>76</v>
      </c>
      <c r="D627" t="s">
        <v>80</v>
      </c>
      <c r="E627">
        <v>52</v>
      </c>
      <c r="F627" t="str">
        <f t="shared" si="27"/>
        <v>51 to 60</v>
      </c>
      <c r="G627" t="s">
        <v>91</v>
      </c>
      <c r="H627" t="s">
        <v>59</v>
      </c>
      <c r="I627" t="s">
        <v>63</v>
      </c>
      <c r="J627">
        <v>16</v>
      </c>
      <c r="K627" t="str">
        <f t="shared" si="28"/>
        <v>11 to 20</v>
      </c>
      <c r="L627" s="1">
        <v>100</v>
      </c>
      <c r="M627" t="s">
        <v>2070</v>
      </c>
      <c r="O627">
        <v>4</v>
      </c>
      <c r="P627">
        <v>1</v>
      </c>
      <c r="Q627" t="s">
        <v>2076</v>
      </c>
      <c r="T627" s="2" t="str">
        <f t="shared" si="29"/>
        <v/>
      </c>
    </row>
    <row r="628" spans="1:21" x14ac:dyDescent="0.3">
      <c r="A628" t="s">
        <v>1318</v>
      </c>
      <c r="B628" t="s">
        <v>1319</v>
      </c>
      <c r="C628" t="s">
        <v>111</v>
      </c>
      <c r="D628" t="s">
        <v>80</v>
      </c>
      <c r="E628">
        <v>42</v>
      </c>
      <c r="F628" t="str">
        <f t="shared" si="27"/>
        <v>41 to 50</v>
      </c>
      <c r="G628" t="s">
        <v>158</v>
      </c>
      <c r="H628" t="s">
        <v>159</v>
      </c>
      <c r="I628" t="s">
        <v>47</v>
      </c>
      <c r="J628">
        <v>5</v>
      </c>
      <c r="K628" t="str">
        <f t="shared" si="28"/>
        <v>0 to 10</v>
      </c>
      <c r="L628" s="1">
        <v>30</v>
      </c>
      <c r="M628" t="s">
        <v>2069</v>
      </c>
      <c r="O628">
        <v>4.9000000000000004</v>
      </c>
      <c r="P628">
        <v>1</v>
      </c>
      <c r="Q628" t="s">
        <v>2076</v>
      </c>
      <c r="R628">
        <v>87</v>
      </c>
      <c r="S628" s="2">
        <v>0.87</v>
      </c>
      <c r="T628" s="2" t="str">
        <f t="shared" si="29"/>
        <v>81% to 90%</v>
      </c>
      <c r="U628">
        <v>0.87</v>
      </c>
    </row>
    <row r="629" spans="1:21" x14ac:dyDescent="0.3">
      <c r="A629" t="s">
        <v>1320</v>
      </c>
      <c r="B629" t="s">
        <v>1321</v>
      </c>
      <c r="C629" t="s">
        <v>36</v>
      </c>
      <c r="D629" t="s">
        <v>20</v>
      </c>
      <c r="E629">
        <v>31</v>
      </c>
      <c r="F629" t="str">
        <f t="shared" si="27"/>
        <v>31 to 40</v>
      </c>
      <c r="G629" t="s">
        <v>77</v>
      </c>
      <c r="H629" t="s">
        <v>78</v>
      </c>
      <c r="I629" t="s">
        <v>33</v>
      </c>
      <c r="J629">
        <v>11</v>
      </c>
      <c r="K629" t="str">
        <f t="shared" si="28"/>
        <v>11 to 20</v>
      </c>
      <c r="O629">
        <v>3.3</v>
      </c>
      <c r="P629">
        <v>0</v>
      </c>
      <c r="Q629" t="s">
        <v>2077</v>
      </c>
      <c r="T629" s="2" t="str">
        <f t="shared" si="29"/>
        <v/>
      </c>
    </row>
    <row r="630" spans="1:21" x14ac:dyDescent="0.3">
      <c r="A630" t="s">
        <v>1322</v>
      </c>
      <c r="B630" t="s">
        <v>1323</v>
      </c>
      <c r="C630" t="s">
        <v>36</v>
      </c>
      <c r="D630" t="s">
        <v>20</v>
      </c>
      <c r="E630">
        <v>24</v>
      </c>
      <c r="F630" t="str">
        <f t="shared" si="27"/>
        <v>21 to 30</v>
      </c>
      <c r="G630" t="s">
        <v>37</v>
      </c>
      <c r="H630" t="s">
        <v>38</v>
      </c>
      <c r="I630" t="s">
        <v>47</v>
      </c>
      <c r="J630">
        <v>1</v>
      </c>
      <c r="K630" t="str">
        <f t="shared" si="28"/>
        <v>0 to 10</v>
      </c>
      <c r="L630" s="1">
        <v>30</v>
      </c>
      <c r="M630" t="s">
        <v>2065</v>
      </c>
      <c r="N630" t="s">
        <v>2069</v>
      </c>
      <c r="O630">
        <v>3.7</v>
      </c>
      <c r="P630" t="s">
        <v>67</v>
      </c>
      <c r="Q630" t="s">
        <v>2077</v>
      </c>
      <c r="R630">
        <v>0.95</v>
      </c>
      <c r="S630" s="2">
        <v>0.95</v>
      </c>
      <c r="T630" s="2" t="str">
        <f t="shared" si="29"/>
        <v>91% to 100%</v>
      </c>
    </row>
    <row r="631" spans="1:21" x14ac:dyDescent="0.3">
      <c r="A631" t="s">
        <v>1324</v>
      </c>
      <c r="B631" t="s">
        <v>1325</v>
      </c>
      <c r="C631" t="s">
        <v>36</v>
      </c>
      <c r="D631" t="s">
        <v>20</v>
      </c>
      <c r="E631">
        <v>35</v>
      </c>
      <c r="F631" t="str">
        <f t="shared" si="27"/>
        <v>31 to 40</v>
      </c>
      <c r="G631" t="s">
        <v>46</v>
      </c>
      <c r="H631" t="s">
        <v>17</v>
      </c>
      <c r="I631" t="s">
        <v>52</v>
      </c>
      <c r="J631">
        <v>15</v>
      </c>
      <c r="K631" t="str">
        <f t="shared" si="28"/>
        <v>11 to 20</v>
      </c>
      <c r="O631">
        <v>3.7</v>
      </c>
      <c r="P631" t="b">
        <v>0</v>
      </c>
      <c r="Q631" t="s">
        <v>2077</v>
      </c>
      <c r="R631">
        <v>0.66</v>
      </c>
      <c r="S631" s="2">
        <v>0.66</v>
      </c>
      <c r="T631" s="2" t="str">
        <f t="shared" si="29"/>
        <v>61% to 70 %</v>
      </c>
    </row>
    <row r="632" spans="1:21" x14ac:dyDescent="0.3">
      <c r="A632" t="s">
        <v>1326</v>
      </c>
      <c r="B632" t="s">
        <v>1327</v>
      </c>
      <c r="C632" t="s">
        <v>111</v>
      </c>
      <c r="D632" t="s">
        <v>80</v>
      </c>
      <c r="E632">
        <v>45</v>
      </c>
      <c r="F632" t="str">
        <f t="shared" si="27"/>
        <v>41 to 50</v>
      </c>
      <c r="G632" t="s">
        <v>91</v>
      </c>
      <c r="H632" t="s">
        <v>59</v>
      </c>
      <c r="I632" t="s">
        <v>39</v>
      </c>
      <c r="J632">
        <v>22</v>
      </c>
      <c r="K632" t="str">
        <f t="shared" si="28"/>
        <v>21 to 30</v>
      </c>
      <c r="L632" s="1">
        <v>40</v>
      </c>
      <c r="M632" t="s">
        <v>2067</v>
      </c>
      <c r="O632">
        <v>3.7</v>
      </c>
      <c r="P632" t="s">
        <v>96</v>
      </c>
      <c r="Q632" t="s">
        <v>2076</v>
      </c>
      <c r="R632">
        <v>0.99</v>
      </c>
      <c r="S632" s="2">
        <v>0.99</v>
      </c>
      <c r="T632" s="2" t="str">
        <f t="shared" si="29"/>
        <v>91% to 100%</v>
      </c>
    </row>
    <row r="633" spans="1:21" x14ac:dyDescent="0.3">
      <c r="A633" t="s">
        <v>1328</v>
      </c>
      <c r="B633" t="s">
        <v>1329</v>
      </c>
      <c r="C633" t="s">
        <v>111</v>
      </c>
      <c r="D633" t="s">
        <v>80</v>
      </c>
      <c r="E633">
        <v>38</v>
      </c>
      <c r="F633" t="str">
        <f t="shared" si="27"/>
        <v>31 to 40</v>
      </c>
      <c r="G633" t="s">
        <v>91</v>
      </c>
      <c r="H633" t="s">
        <v>59</v>
      </c>
      <c r="I633" t="s">
        <v>63</v>
      </c>
      <c r="J633">
        <v>3</v>
      </c>
      <c r="K633" t="str">
        <f t="shared" si="28"/>
        <v>0 to 10</v>
      </c>
      <c r="L633" s="1">
        <v>40</v>
      </c>
      <c r="M633" t="s">
        <v>2067</v>
      </c>
      <c r="O633">
        <v>4.7</v>
      </c>
      <c r="P633">
        <v>0</v>
      </c>
      <c r="Q633" t="s">
        <v>2077</v>
      </c>
      <c r="R633">
        <v>0.69</v>
      </c>
      <c r="S633" s="2">
        <v>0.69</v>
      </c>
      <c r="T633" s="2" t="str">
        <f t="shared" si="29"/>
        <v>61% to 70 %</v>
      </c>
    </row>
    <row r="634" spans="1:21" x14ac:dyDescent="0.3">
      <c r="A634" t="s">
        <v>1330</v>
      </c>
      <c r="B634" t="s">
        <v>1331</v>
      </c>
      <c r="C634" t="s">
        <v>76</v>
      </c>
      <c r="D634" t="s">
        <v>80</v>
      </c>
      <c r="E634">
        <v>24</v>
      </c>
      <c r="F634" t="str">
        <f t="shared" si="27"/>
        <v>21 to 30</v>
      </c>
      <c r="G634" t="s">
        <v>31</v>
      </c>
      <c r="H634" t="s">
        <v>32</v>
      </c>
      <c r="I634" t="s">
        <v>33</v>
      </c>
      <c r="K634" t="str">
        <f t="shared" si="28"/>
        <v/>
      </c>
      <c r="L634" s="1">
        <v>20</v>
      </c>
      <c r="M634" t="s">
        <v>2065</v>
      </c>
      <c r="N634" t="s">
        <v>2072</v>
      </c>
      <c r="O634">
        <v>0</v>
      </c>
      <c r="P634">
        <v>0</v>
      </c>
      <c r="Q634" t="s">
        <v>2077</v>
      </c>
      <c r="R634">
        <v>0.76</v>
      </c>
      <c r="S634" s="2">
        <v>0.76</v>
      </c>
      <c r="T634" s="2" t="str">
        <f t="shared" si="29"/>
        <v>71% to 80%</v>
      </c>
    </row>
    <row r="635" spans="1:21" x14ac:dyDescent="0.3">
      <c r="A635" t="s">
        <v>1332</v>
      </c>
      <c r="B635" t="s">
        <v>1333</v>
      </c>
      <c r="C635" t="s">
        <v>111</v>
      </c>
      <c r="D635" t="s">
        <v>80</v>
      </c>
      <c r="E635">
        <v>30</v>
      </c>
      <c r="F635" t="str">
        <f t="shared" si="27"/>
        <v>21 to 30</v>
      </c>
      <c r="G635" t="s">
        <v>158</v>
      </c>
      <c r="H635" t="s">
        <v>159</v>
      </c>
      <c r="I635" t="s">
        <v>52</v>
      </c>
      <c r="J635">
        <v>9</v>
      </c>
      <c r="K635" t="str">
        <f t="shared" si="28"/>
        <v>0 to 10</v>
      </c>
      <c r="L635" s="1">
        <v>30</v>
      </c>
      <c r="M635" t="s">
        <v>2065</v>
      </c>
      <c r="N635" t="s">
        <v>2069</v>
      </c>
      <c r="O635">
        <v>3.9</v>
      </c>
      <c r="P635" t="s">
        <v>67</v>
      </c>
      <c r="Q635" t="s">
        <v>2077</v>
      </c>
      <c r="R635">
        <v>0.65</v>
      </c>
      <c r="S635" s="2">
        <v>0.65</v>
      </c>
      <c r="T635" s="2" t="str">
        <f t="shared" si="29"/>
        <v>61% to 70 %</v>
      </c>
    </row>
    <row r="636" spans="1:21" x14ac:dyDescent="0.3">
      <c r="A636" t="s">
        <v>1334</v>
      </c>
      <c r="B636" t="s">
        <v>1335</v>
      </c>
      <c r="C636" t="s">
        <v>76</v>
      </c>
      <c r="D636" t="s">
        <v>80</v>
      </c>
      <c r="E636">
        <v>41</v>
      </c>
      <c r="F636" t="str">
        <f t="shared" si="27"/>
        <v>41 to 50</v>
      </c>
      <c r="G636" t="s">
        <v>27</v>
      </c>
      <c r="H636" t="s">
        <v>28</v>
      </c>
      <c r="I636" t="s">
        <v>39</v>
      </c>
      <c r="J636">
        <v>14</v>
      </c>
      <c r="K636" t="str">
        <f t="shared" si="28"/>
        <v>11 to 20</v>
      </c>
      <c r="L636" s="1">
        <v>40</v>
      </c>
      <c r="M636" t="s">
        <v>2067</v>
      </c>
      <c r="O636">
        <v>1.1000000000000001</v>
      </c>
      <c r="P636" t="b">
        <v>1</v>
      </c>
      <c r="Q636" t="s">
        <v>2076</v>
      </c>
      <c r="R636">
        <v>0.73</v>
      </c>
      <c r="S636" s="2">
        <v>0.73</v>
      </c>
      <c r="T636" s="2" t="str">
        <f t="shared" si="29"/>
        <v>71% to 80%</v>
      </c>
    </row>
    <row r="637" spans="1:21" x14ac:dyDescent="0.3">
      <c r="A637" t="s">
        <v>1336</v>
      </c>
      <c r="B637" t="s">
        <v>1337</v>
      </c>
      <c r="C637" t="s">
        <v>76</v>
      </c>
      <c r="D637" t="s">
        <v>80</v>
      </c>
      <c r="E637">
        <v>37</v>
      </c>
      <c r="F637" t="str">
        <f t="shared" si="27"/>
        <v>31 to 40</v>
      </c>
      <c r="G637" t="s">
        <v>50</v>
      </c>
      <c r="H637" t="s">
        <v>51</v>
      </c>
      <c r="I637" t="s">
        <v>33</v>
      </c>
      <c r="J637">
        <v>15</v>
      </c>
      <c r="K637" t="str">
        <f t="shared" si="28"/>
        <v>11 to 20</v>
      </c>
      <c r="L637" s="1">
        <v>40</v>
      </c>
      <c r="M637" t="s">
        <v>2065</v>
      </c>
      <c r="N637" t="s">
        <v>2067</v>
      </c>
      <c r="O637">
        <v>2.9</v>
      </c>
      <c r="P637" t="b">
        <v>0</v>
      </c>
      <c r="Q637" t="s">
        <v>2077</v>
      </c>
      <c r="T637" s="2" t="str">
        <f t="shared" si="29"/>
        <v/>
      </c>
    </row>
    <row r="638" spans="1:21" x14ac:dyDescent="0.3">
      <c r="A638" t="s">
        <v>1338</v>
      </c>
      <c r="B638" t="s">
        <v>1339</v>
      </c>
      <c r="C638" t="s">
        <v>76</v>
      </c>
      <c r="D638" t="s">
        <v>80</v>
      </c>
      <c r="E638">
        <v>34</v>
      </c>
      <c r="F638" t="str">
        <f t="shared" si="27"/>
        <v>31 to 40</v>
      </c>
      <c r="G638" t="s">
        <v>77</v>
      </c>
      <c r="H638" t="s">
        <v>78</v>
      </c>
      <c r="I638" t="s">
        <v>18</v>
      </c>
      <c r="J638">
        <v>8</v>
      </c>
      <c r="K638" t="str">
        <f t="shared" si="28"/>
        <v>0 to 10</v>
      </c>
      <c r="L638" s="1">
        <v>20</v>
      </c>
      <c r="M638" t="s">
        <v>2065</v>
      </c>
      <c r="N638" t="s">
        <v>2072</v>
      </c>
      <c r="O638">
        <v>0</v>
      </c>
      <c r="P638" t="b">
        <v>1</v>
      </c>
      <c r="Q638" t="s">
        <v>2076</v>
      </c>
      <c r="R638">
        <v>0.89</v>
      </c>
      <c r="S638" s="2">
        <v>0.89</v>
      </c>
      <c r="T638" s="2" t="str">
        <f t="shared" si="29"/>
        <v>81% to 90%</v>
      </c>
    </row>
    <row r="639" spans="1:21" x14ac:dyDescent="0.3">
      <c r="A639" t="s">
        <v>1340</v>
      </c>
      <c r="B639" t="s">
        <v>1341</v>
      </c>
      <c r="C639" t="s">
        <v>15</v>
      </c>
      <c r="D639" t="s">
        <v>20</v>
      </c>
      <c r="E639">
        <v>35</v>
      </c>
      <c r="F639" t="str">
        <f t="shared" si="27"/>
        <v>31 to 40</v>
      </c>
      <c r="G639" t="s">
        <v>42</v>
      </c>
      <c r="H639" t="s">
        <v>43</v>
      </c>
      <c r="I639" t="s">
        <v>66</v>
      </c>
      <c r="J639">
        <v>14</v>
      </c>
      <c r="K639" t="str">
        <f t="shared" si="28"/>
        <v>11 to 20</v>
      </c>
      <c r="L639" s="1">
        <v>30</v>
      </c>
      <c r="M639" t="s">
        <v>2069</v>
      </c>
      <c r="O639">
        <v>1.6</v>
      </c>
      <c r="P639" t="s">
        <v>96</v>
      </c>
      <c r="Q639" t="s">
        <v>2076</v>
      </c>
      <c r="R639">
        <v>0.67</v>
      </c>
      <c r="S639" s="2">
        <v>0.67</v>
      </c>
      <c r="T639" s="2" t="str">
        <f t="shared" si="29"/>
        <v>61% to 70 %</v>
      </c>
    </row>
    <row r="640" spans="1:21" x14ac:dyDescent="0.3">
      <c r="A640" t="s">
        <v>1342</v>
      </c>
      <c r="B640" t="s">
        <v>1343</v>
      </c>
      <c r="C640" t="s">
        <v>36</v>
      </c>
      <c r="D640" t="s">
        <v>20</v>
      </c>
      <c r="E640">
        <v>53</v>
      </c>
      <c r="F640" t="str">
        <f t="shared" si="27"/>
        <v>51 to 60</v>
      </c>
      <c r="G640" t="s">
        <v>31</v>
      </c>
      <c r="H640" t="s">
        <v>32</v>
      </c>
      <c r="I640" t="s">
        <v>108</v>
      </c>
      <c r="J640">
        <v>28</v>
      </c>
      <c r="K640" t="str">
        <f t="shared" si="28"/>
        <v>21 to 30</v>
      </c>
      <c r="L640" s="1">
        <v>50</v>
      </c>
      <c r="M640" t="s">
        <v>2068</v>
      </c>
      <c r="N640" t="s">
        <v>2071</v>
      </c>
      <c r="O640">
        <v>2.9</v>
      </c>
      <c r="P640" t="s">
        <v>19</v>
      </c>
      <c r="Q640" t="s">
        <v>2076</v>
      </c>
      <c r="R640">
        <v>0.82</v>
      </c>
      <c r="S640" s="2">
        <v>0.82</v>
      </c>
      <c r="T640" s="2" t="str">
        <f t="shared" si="29"/>
        <v>81% to 90%</v>
      </c>
    </row>
    <row r="641" spans="1:21" x14ac:dyDescent="0.3">
      <c r="A641" t="s">
        <v>1344</v>
      </c>
      <c r="B641" t="s">
        <v>1345</v>
      </c>
      <c r="C641" t="s">
        <v>15</v>
      </c>
      <c r="D641" t="s">
        <v>20</v>
      </c>
      <c r="E641">
        <v>34</v>
      </c>
      <c r="F641" t="str">
        <f t="shared" si="27"/>
        <v>31 to 40</v>
      </c>
      <c r="G641" t="s">
        <v>42</v>
      </c>
      <c r="H641" t="s">
        <v>43</v>
      </c>
      <c r="I641" t="s">
        <v>18</v>
      </c>
      <c r="J641">
        <v>15</v>
      </c>
      <c r="K641" t="str">
        <f t="shared" si="28"/>
        <v>11 to 20</v>
      </c>
      <c r="L641" s="1">
        <v>20</v>
      </c>
      <c r="M641" t="s">
        <v>2072</v>
      </c>
      <c r="O641">
        <v>0</v>
      </c>
      <c r="P641">
        <v>0</v>
      </c>
      <c r="Q641" t="s">
        <v>2077</v>
      </c>
      <c r="R641">
        <v>1</v>
      </c>
      <c r="S641" s="2">
        <v>1</v>
      </c>
      <c r="T641" s="2" t="str">
        <f t="shared" si="29"/>
        <v>91% to 100%</v>
      </c>
    </row>
    <row r="642" spans="1:21" x14ac:dyDescent="0.3">
      <c r="A642" t="s">
        <v>1346</v>
      </c>
      <c r="B642" t="s">
        <v>1347</v>
      </c>
      <c r="C642" t="s">
        <v>36</v>
      </c>
      <c r="D642" t="s">
        <v>20</v>
      </c>
      <c r="E642">
        <v>29</v>
      </c>
      <c r="F642" t="str">
        <f t="shared" ref="F642:F705" si="30">IF(OR($E642="",NOT(ISNUMBER($E642))),"",
 IF($E642&lt;=20,"11 to 20",
 IF($E642&lt;=30,"21 to 30",
 IF($E642&lt;=40,"31 to 40",
 IF($E642&lt;=50,"41 to 50",
 IF($E642&lt;=60,"51 to 60"))))))</f>
        <v>21 to 30</v>
      </c>
      <c r="G642" t="s">
        <v>139</v>
      </c>
      <c r="H642" t="s">
        <v>59</v>
      </c>
      <c r="I642" t="s">
        <v>39</v>
      </c>
      <c r="J642">
        <v>4</v>
      </c>
      <c r="K642" t="str">
        <f t="shared" ref="K642:K705" si="31">IF(OR($J642="",NOT(ISNUMBER($J642))),"",
 IF($J642&lt;=10,"0 to 10",
 IF($J642&lt;=20,"11 to 20",
 IF($J642&lt;=30,"21 to 30",
 IF($J642&lt;=40,"31 to 40",
 "40+")))))</f>
        <v>0 to 10</v>
      </c>
      <c r="L642" s="1">
        <v>50</v>
      </c>
      <c r="M642" t="s">
        <v>2068</v>
      </c>
      <c r="N642" t="s">
        <v>2071</v>
      </c>
      <c r="O642">
        <v>4</v>
      </c>
      <c r="P642">
        <v>0</v>
      </c>
      <c r="Q642" t="s">
        <v>2077</v>
      </c>
      <c r="T642" s="2" t="str">
        <f t="shared" ref="T642:T705" si="32">IF(OR($S642="",NOT(ISNUMBER($S642))),"",
 IF($S642&lt;=0.6,"50% to 60%",
 IF($S642&lt;=0.7,"61% to 70 %",
 IF($S642&lt;=0.8,"71% to 80%",
 IF($S642&lt;=0.9,"81% to 90%",
 IF($S642&lt;=1,"91% to 100%"))))))</f>
        <v/>
      </c>
    </row>
    <row r="643" spans="1:21" x14ac:dyDescent="0.3">
      <c r="A643" t="s">
        <v>1348</v>
      </c>
      <c r="B643" t="s">
        <v>1349</v>
      </c>
      <c r="C643" t="s">
        <v>36</v>
      </c>
      <c r="D643" t="s">
        <v>20</v>
      </c>
      <c r="E643">
        <v>52</v>
      </c>
      <c r="F643" t="str">
        <f t="shared" si="30"/>
        <v>51 to 60</v>
      </c>
      <c r="G643" t="s">
        <v>16</v>
      </c>
      <c r="H643" t="s">
        <v>17</v>
      </c>
      <c r="I643" t="s">
        <v>60</v>
      </c>
      <c r="J643">
        <v>31</v>
      </c>
      <c r="K643" t="str">
        <f t="shared" si="31"/>
        <v>31 to 40</v>
      </c>
      <c r="L643" s="1">
        <v>30</v>
      </c>
      <c r="M643" t="s">
        <v>2069</v>
      </c>
      <c r="P643">
        <v>1</v>
      </c>
      <c r="Q643" t="s">
        <v>2076</v>
      </c>
      <c r="T643" s="2" t="str">
        <f t="shared" si="32"/>
        <v/>
      </c>
    </row>
    <row r="644" spans="1:21" x14ac:dyDescent="0.3">
      <c r="A644" t="s">
        <v>1350</v>
      </c>
      <c r="B644" t="s">
        <v>1351</v>
      </c>
      <c r="C644" t="s">
        <v>15</v>
      </c>
      <c r="D644" t="s">
        <v>20</v>
      </c>
      <c r="E644">
        <v>30</v>
      </c>
      <c r="F644" t="str">
        <f t="shared" si="30"/>
        <v>21 to 30</v>
      </c>
      <c r="G644" t="s">
        <v>46</v>
      </c>
      <c r="H644" t="s">
        <v>17</v>
      </c>
      <c r="I644" t="s">
        <v>39</v>
      </c>
      <c r="J644">
        <v>1</v>
      </c>
      <c r="K644" t="str">
        <f t="shared" si="31"/>
        <v>0 to 10</v>
      </c>
      <c r="L644" s="1">
        <v>40</v>
      </c>
      <c r="M644" t="s">
        <v>2067</v>
      </c>
      <c r="O644">
        <v>1.6</v>
      </c>
      <c r="P644" t="b">
        <v>1</v>
      </c>
      <c r="Q644" t="s">
        <v>2076</v>
      </c>
      <c r="R644">
        <v>100</v>
      </c>
      <c r="S644" s="2">
        <v>1</v>
      </c>
      <c r="T644" s="2" t="str">
        <f t="shared" si="32"/>
        <v>91% to 100%</v>
      </c>
      <c r="U644">
        <v>1</v>
      </c>
    </row>
    <row r="645" spans="1:21" x14ac:dyDescent="0.3">
      <c r="A645" t="s">
        <v>1352</v>
      </c>
      <c r="B645" t="s">
        <v>1353</v>
      </c>
      <c r="C645" t="s">
        <v>36</v>
      </c>
      <c r="D645" t="s">
        <v>20</v>
      </c>
      <c r="E645">
        <v>37</v>
      </c>
      <c r="F645" t="str">
        <f t="shared" si="30"/>
        <v>31 to 40</v>
      </c>
      <c r="G645" t="s">
        <v>91</v>
      </c>
      <c r="H645" t="s">
        <v>59</v>
      </c>
      <c r="I645" t="s">
        <v>66</v>
      </c>
      <c r="J645">
        <v>3</v>
      </c>
      <c r="K645" t="str">
        <f t="shared" si="31"/>
        <v>0 to 10</v>
      </c>
      <c r="L645" s="1">
        <v>20</v>
      </c>
      <c r="M645" t="s">
        <v>2072</v>
      </c>
      <c r="O645">
        <v>2.5</v>
      </c>
      <c r="P645" t="s">
        <v>53</v>
      </c>
      <c r="Q645" t="s">
        <v>2077</v>
      </c>
      <c r="R645">
        <v>0.62</v>
      </c>
      <c r="S645" s="2">
        <v>0.62</v>
      </c>
      <c r="T645" s="2" t="str">
        <f t="shared" si="32"/>
        <v>61% to 70 %</v>
      </c>
    </row>
    <row r="646" spans="1:21" x14ac:dyDescent="0.3">
      <c r="A646" t="s">
        <v>1354</v>
      </c>
      <c r="B646" t="s">
        <v>1355</v>
      </c>
      <c r="C646" t="s">
        <v>36</v>
      </c>
      <c r="D646" t="s">
        <v>20</v>
      </c>
      <c r="E646">
        <v>58</v>
      </c>
      <c r="F646" t="str">
        <f t="shared" si="30"/>
        <v>51 to 60</v>
      </c>
      <c r="G646" t="s">
        <v>50</v>
      </c>
      <c r="H646" t="s">
        <v>51</v>
      </c>
      <c r="I646" t="s">
        <v>18</v>
      </c>
      <c r="J646">
        <v>3</v>
      </c>
      <c r="K646" t="str">
        <f t="shared" si="31"/>
        <v>0 to 10</v>
      </c>
      <c r="O646">
        <v>0</v>
      </c>
      <c r="P646">
        <v>1</v>
      </c>
      <c r="Q646" t="s">
        <v>2076</v>
      </c>
      <c r="T646" s="2" t="str">
        <f t="shared" si="32"/>
        <v/>
      </c>
    </row>
    <row r="647" spans="1:21" x14ac:dyDescent="0.3">
      <c r="A647" t="s">
        <v>1356</v>
      </c>
      <c r="B647" t="s">
        <v>1357</v>
      </c>
      <c r="C647" t="s">
        <v>15</v>
      </c>
      <c r="D647" t="s">
        <v>20</v>
      </c>
      <c r="E647">
        <v>50</v>
      </c>
      <c r="F647" t="str">
        <f t="shared" si="30"/>
        <v>41 to 50</v>
      </c>
      <c r="G647" t="s">
        <v>37</v>
      </c>
      <c r="H647" t="s">
        <v>38</v>
      </c>
      <c r="I647" t="s">
        <v>33</v>
      </c>
      <c r="J647">
        <v>9</v>
      </c>
      <c r="K647" t="str">
        <f t="shared" si="31"/>
        <v>0 to 10</v>
      </c>
      <c r="L647" s="1">
        <v>30</v>
      </c>
      <c r="M647" t="s">
        <v>2069</v>
      </c>
      <c r="O647">
        <v>3</v>
      </c>
      <c r="P647">
        <v>0</v>
      </c>
      <c r="Q647" t="s">
        <v>2077</v>
      </c>
      <c r="R647">
        <v>76</v>
      </c>
      <c r="S647" s="2">
        <v>0.76</v>
      </c>
      <c r="T647" s="2" t="str">
        <f t="shared" si="32"/>
        <v>71% to 80%</v>
      </c>
      <c r="U647">
        <v>0.76</v>
      </c>
    </row>
    <row r="648" spans="1:21" x14ac:dyDescent="0.3">
      <c r="A648" t="s">
        <v>1358</v>
      </c>
      <c r="B648" t="s">
        <v>1359</v>
      </c>
      <c r="C648" t="s">
        <v>15</v>
      </c>
      <c r="D648" t="s">
        <v>20</v>
      </c>
      <c r="E648">
        <v>38</v>
      </c>
      <c r="F648" t="str">
        <f t="shared" si="30"/>
        <v>31 to 40</v>
      </c>
      <c r="G648" t="s">
        <v>188</v>
      </c>
      <c r="H648" t="s">
        <v>189</v>
      </c>
      <c r="I648" t="s">
        <v>33</v>
      </c>
      <c r="J648">
        <v>3</v>
      </c>
      <c r="K648" t="str">
        <f t="shared" si="31"/>
        <v>0 to 10</v>
      </c>
      <c r="L648" s="1">
        <v>100</v>
      </c>
      <c r="M648" t="s">
        <v>2070</v>
      </c>
      <c r="O648">
        <v>1.4</v>
      </c>
      <c r="P648" t="b">
        <v>0</v>
      </c>
      <c r="Q648" t="s">
        <v>2077</v>
      </c>
      <c r="R648">
        <v>0.73</v>
      </c>
      <c r="S648" s="2">
        <v>0.73</v>
      </c>
      <c r="T648" s="2" t="str">
        <f t="shared" si="32"/>
        <v>71% to 80%</v>
      </c>
    </row>
    <row r="649" spans="1:21" x14ac:dyDescent="0.3">
      <c r="A649" t="s">
        <v>1360</v>
      </c>
      <c r="B649" t="s">
        <v>1361</v>
      </c>
      <c r="C649" t="s">
        <v>15</v>
      </c>
      <c r="D649" t="s">
        <v>20</v>
      </c>
      <c r="E649">
        <v>23</v>
      </c>
      <c r="F649" t="str">
        <f t="shared" si="30"/>
        <v>21 to 30</v>
      </c>
      <c r="G649" t="s">
        <v>27</v>
      </c>
      <c r="H649" t="s">
        <v>28</v>
      </c>
      <c r="I649" t="s">
        <v>108</v>
      </c>
      <c r="J649">
        <v>4</v>
      </c>
      <c r="K649" t="str">
        <f t="shared" si="31"/>
        <v>0 to 10</v>
      </c>
      <c r="L649" s="1">
        <v>50</v>
      </c>
      <c r="M649" t="s">
        <v>2071</v>
      </c>
      <c r="O649">
        <v>4.5</v>
      </c>
      <c r="P649" t="s">
        <v>53</v>
      </c>
      <c r="Q649" t="s">
        <v>2077</v>
      </c>
      <c r="R649">
        <v>0.98</v>
      </c>
      <c r="S649" s="2">
        <v>0.98</v>
      </c>
      <c r="T649" s="2" t="str">
        <f t="shared" si="32"/>
        <v>91% to 100%</v>
      </c>
    </row>
    <row r="650" spans="1:21" x14ac:dyDescent="0.3">
      <c r="A650" t="s">
        <v>1362</v>
      </c>
      <c r="B650" t="s">
        <v>1363</v>
      </c>
      <c r="C650" t="s">
        <v>15</v>
      </c>
      <c r="D650" t="s">
        <v>20</v>
      </c>
      <c r="E650">
        <v>38</v>
      </c>
      <c r="F650" t="str">
        <f t="shared" si="30"/>
        <v>31 to 40</v>
      </c>
      <c r="G650" t="s">
        <v>91</v>
      </c>
      <c r="H650" t="s">
        <v>59</v>
      </c>
      <c r="I650" t="s">
        <v>108</v>
      </c>
      <c r="J650">
        <v>17</v>
      </c>
      <c r="K650" t="str">
        <f t="shared" si="31"/>
        <v>11 to 20</v>
      </c>
      <c r="L650" s="1">
        <v>40</v>
      </c>
      <c r="M650" t="s">
        <v>2068</v>
      </c>
      <c r="N650" t="s">
        <v>2067</v>
      </c>
      <c r="O650">
        <v>4</v>
      </c>
      <c r="P650" t="b">
        <v>1</v>
      </c>
      <c r="Q650" t="s">
        <v>2076</v>
      </c>
      <c r="R650">
        <v>0.9</v>
      </c>
      <c r="S650" s="2">
        <v>0.9</v>
      </c>
      <c r="T650" s="2" t="str">
        <f t="shared" si="32"/>
        <v>81% to 90%</v>
      </c>
    </row>
    <row r="651" spans="1:21" x14ac:dyDescent="0.3">
      <c r="A651" t="s">
        <v>1364</v>
      </c>
      <c r="B651" t="s">
        <v>1365</v>
      </c>
      <c r="C651" t="s">
        <v>76</v>
      </c>
      <c r="D651" t="s">
        <v>80</v>
      </c>
      <c r="E651">
        <v>38</v>
      </c>
      <c r="F651" t="str">
        <f t="shared" si="30"/>
        <v>31 to 40</v>
      </c>
      <c r="G651" t="s">
        <v>31</v>
      </c>
      <c r="H651" t="s">
        <v>32</v>
      </c>
      <c r="I651" t="s">
        <v>108</v>
      </c>
      <c r="J651">
        <v>13</v>
      </c>
      <c r="K651" t="str">
        <f t="shared" si="31"/>
        <v>11 to 20</v>
      </c>
      <c r="L651" s="1">
        <v>40</v>
      </c>
      <c r="M651" t="s">
        <v>2065</v>
      </c>
      <c r="N651" t="s">
        <v>2067</v>
      </c>
      <c r="O651">
        <v>0</v>
      </c>
      <c r="P651">
        <v>1</v>
      </c>
      <c r="Q651" t="s">
        <v>2076</v>
      </c>
      <c r="R651">
        <v>61</v>
      </c>
      <c r="S651" s="2">
        <v>0.61</v>
      </c>
      <c r="T651" s="2" t="str">
        <f t="shared" si="32"/>
        <v>61% to 70 %</v>
      </c>
      <c r="U651">
        <v>0.61</v>
      </c>
    </row>
    <row r="652" spans="1:21" x14ac:dyDescent="0.3">
      <c r="A652" t="s">
        <v>1366</v>
      </c>
      <c r="B652" t="s">
        <v>1367</v>
      </c>
      <c r="C652" t="s">
        <v>111</v>
      </c>
      <c r="D652" t="s">
        <v>80</v>
      </c>
      <c r="E652">
        <v>47</v>
      </c>
      <c r="F652" t="str">
        <f t="shared" si="30"/>
        <v>41 to 50</v>
      </c>
      <c r="G652" t="s">
        <v>37</v>
      </c>
      <c r="H652" t="s">
        <v>38</v>
      </c>
      <c r="I652" t="s">
        <v>79</v>
      </c>
      <c r="J652">
        <v>22</v>
      </c>
      <c r="K652" t="str">
        <f t="shared" si="31"/>
        <v>21 to 30</v>
      </c>
      <c r="L652" s="1">
        <v>100</v>
      </c>
      <c r="M652" t="s">
        <v>2070</v>
      </c>
      <c r="O652">
        <v>4.4000000000000004</v>
      </c>
      <c r="P652" t="s">
        <v>67</v>
      </c>
      <c r="Q652" t="s">
        <v>2077</v>
      </c>
      <c r="R652">
        <v>0.7</v>
      </c>
      <c r="S652" s="2">
        <v>0.7</v>
      </c>
      <c r="T652" s="2" t="str">
        <f t="shared" si="32"/>
        <v>61% to 70 %</v>
      </c>
    </row>
    <row r="653" spans="1:21" x14ac:dyDescent="0.3">
      <c r="A653" t="s">
        <v>1368</v>
      </c>
      <c r="B653" t="s">
        <v>1369</v>
      </c>
      <c r="C653" t="s">
        <v>15</v>
      </c>
      <c r="D653" t="s">
        <v>20</v>
      </c>
      <c r="E653">
        <v>53</v>
      </c>
      <c r="F653" t="str">
        <f t="shared" si="30"/>
        <v>51 to 60</v>
      </c>
      <c r="G653" t="s">
        <v>104</v>
      </c>
      <c r="H653" t="s">
        <v>105</v>
      </c>
      <c r="I653" t="s">
        <v>39</v>
      </c>
      <c r="J653">
        <v>32</v>
      </c>
      <c r="K653" t="str">
        <f t="shared" si="31"/>
        <v>31 to 40</v>
      </c>
      <c r="L653" s="1">
        <v>50</v>
      </c>
      <c r="M653" t="s">
        <v>2071</v>
      </c>
      <c r="P653">
        <v>1</v>
      </c>
      <c r="Q653" t="s">
        <v>2076</v>
      </c>
      <c r="T653" s="2" t="str">
        <f t="shared" si="32"/>
        <v/>
      </c>
    </row>
    <row r="654" spans="1:21" x14ac:dyDescent="0.3">
      <c r="A654" t="s">
        <v>1370</v>
      </c>
      <c r="B654" t="s">
        <v>1371</v>
      </c>
      <c r="C654" t="s">
        <v>15</v>
      </c>
      <c r="D654" t="s">
        <v>20</v>
      </c>
      <c r="E654">
        <v>57</v>
      </c>
      <c r="F654" t="str">
        <f t="shared" si="30"/>
        <v>51 to 60</v>
      </c>
      <c r="G654" t="s">
        <v>139</v>
      </c>
      <c r="H654" t="s">
        <v>59</v>
      </c>
      <c r="I654" t="s">
        <v>63</v>
      </c>
      <c r="J654">
        <v>13</v>
      </c>
      <c r="K654" t="str">
        <f t="shared" si="31"/>
        <v>11 to 20</v>
      </c>
      <c r="L654" s="1">
        <v>100</v>
      </c>
      <c r="M654" t="s">
        <v>2070</v>
      </c>
      <c r="O654">
        <v>3.5</v>
      </c>
      <c r="P654" t="s">
        <v>67</v>
      </c>
      <c r="Q654" t="s">
        <v>2077</v>
      </c>
      <c r="R654">
        <v>0.95</v>
      </c>
      <c r="S654" s="2">
        <v>0.95</v>
      </c>
      <c r="T654" s="2" t="str">
        <f t="shared" si="32"/>
        <v>91% to 100%</v>
      </c>
    </row>
    <row r="655" spans="1:21" x14ac:dyDescent="0.3">
      <c r="A655" t="s">
        <v>1372</v>
      </c>
      <c r="B655" t="s">
        <v>1373</v>
      </c>
      <c r="C655" t="s">
        <v>15</v>
      </c>
      <c r="D655" t="s">
        <v>20</v>
      </c>
      <c r="E655">
        <v>29</v>
      </c>
      <c r="F655" t="str">
        <f t="shared" si="30"/>
        <v>21 to 30</v>
      </c>
      <c r="G655" t="s">
        <v>158</v>
      </c>
      <c r="H655" t="s">
        <v>159</v>
      </c>
      <c r="I655" t="s">
        <v>66</v>
      </c>
      <c r="J655">
        <v>0</v>
      </c>
      <c r="K655" t="str">
        <f t="shared" si="31"/>
        <v>0 to 10</v>
      </c>
      <c r="L655" s="1">
        <v>30</v>
      </c>
      <c r="M655" t="s">
        <v>2069</v>
      </c>
      <c r="O655">
        <v>0</v>
      </c>
      <c r="P655">
        <v>0</v>
      </c>
      <c r="Q655" t="s">
        <v>2077</v>
      </c>
      <c r="R655">
        <v>0.63</v>
      </c>
      <c r="S655" s="2">
        <v>0.63</v>
      </c>
      <c r="T655" s="2" t="str">
        <f t="shared" si="32"/>
        <v>61% to 70 %</v>
      </c>
    </row>
    <row r="656" spans="1:21" x14ac:dyDescent="0.3">
      <c r="A656" t="s">
        <v>1374</v>
      </c>
      <c r="B656" t="s">
        <v>1375</v>
      </c>
      <c r="C656" t="s">
        <v>76</v>
      </c>
      <c r="D656" t="s">
        <v>80</v>
      </c>
      <c r="E656">
        <v>23</v>
      </c>
      <c r="F656" t="str">
        <f t="shared" si="30"/>
        <v>21 to 30</v>
      </c>
      <c r="G656" t="s">
        <v>27</v>
      </c>
      <c r="H656" t="s">
        <v>28</v>
      </c>
      <c r="I656" t="s">
        <v>47</v>
      </c>
      <c r="J656">
        <v>4</v>
      </c>
      <c r="K656" t="str">
        <f t="shared" si="31"/>
        <v>0 to 10</v>
      </c>
      <c r="L656" s="1">
        <v>20</v>
      </c>
      <c r="M656" t="s">
        <v>2068</v>
      </c>
      <c r="N656" t="s">
        <v>2072</v>
      </c>
      <c r="O656">
        <v>4.7</v>
      </c>
      <c r="P656" t="b">
        <v>1</v>
      </c>
      <c r="Q656" t="s">
        <v>2076</v>
      </c>
      <c r="R656">
        <v>0.84</v>
      </c>
      <c r="S656" s="2">
        <v>0.84</v>
      </c>
      <c r="T656" s="2" t="str">
        <f t="shared" si="32"/>
        <v>81% to 90%</v>
      </c>
    </row>
    <row r="657" spans="1:21" x14ac:dyDescent="0.3">
      <c r="A657" t="s">
        <v>1376</v>
      </c>
      <c r="B657" t="s">
        <v>1375</v>
      </c>
      <c r="C657" t="s">
        <v>76</v>
      </c>
      <c r="D657" t="s">
        <v>80</v>
      </c>
      <c r="E657">
        <v>53</v>
      </c>
      <c r="F657" t="str">
        <f t="shared" si="30"/>
        <v>51 to 60</v>
      </c>
      <c r="G657" t="s">
        <v>188</v>
      </c>
      <c r="H657" t="s">
        <v>189</v>
      </c>
      <c r="I657" t="s">
        <v>79</v>
      </c>
      <c r="J657">
        <v>35</v>
      </c>
      <c r="K657" t="str">
        <f t="shared" si="31"/>
        <v>31 to 40</v>
      </c>
      <c r="O657">
        <v>0</v>
      </c>
      <c r="P657">
        <v>1</v>
      </c>
      <c r="Q657" t="s">
        <v>2076</v>
      </c>
      <c r="R657">
        <v>0.67</v>
      </c>
      <c r="S657" s="2">
        <v>0.67</v>
      </c>
      <c r="T657" s="2" t="str">
        <f t="shared" si="32"/>
        <v>61% to 70 %</v>
      </c>
    </row>
    <row r="658" spans="1:21" x14ac:dyDescent="0.3">
      <c r="A658" t="s">
        <v>1377</v>
      </c>
      <c r="B658" t="s">
        <v>1378</v>
      </c>
      <c r="C658" t="s">
        <v>76</v>
      </c>
      <c r="D658" t="s">
        <v>80</v>
      </c>
      <c r="E658">
        <v>33</v>
      </c>
      <c r="F658" t="str">
        <f t="shared" si="30"/>
        <v>31 to 40</v>
      </c>
      <c r="G658" t="s">
        <v>91</v>
      </c>
      <c r="H658" t="s">
        <v>59</v>
      </c>
      <c r="I658" t="s">
        <v>66</v>
      </c>
      <c r="J658">
        <v>4</v>
      </c>
      <c r="K658" t="str">
        <f t="shared" si="31"/>
        <v>0 to 10</v>
      </c>
      <c r="O658">
        <v>1.9</v>
      </c>
      <c r="P658" t="b">
        <v>0</v>
      </c>
      <c r="Q658" t="s">
        <v>2077</v>
      </c>
      <c r="R658">
        <v>73</v>
      </c>
      <c r="S658" s="2">
        <v>0.73</v>
      </c>
      <c r="T658" s="2" t="str">
        <f t="shared" si="32"/>
        <v>71% to 80%</v>
      </c>
      <c r="U658">
        <v>0.73</v>
      </c>
    </row>
    <row r="659" spans="1:21" x14ac:dyDescent="0.3">
      <c r="A659" t="s">
        <v>1379</v>
      </c>
      <c r="B659" t="s">
        <v>1380</v>
      </c>
      <c r="C659" t="s">
        <v>76</v>
      </c>
      <c r="D659" t="s">
        <v>80</v>
      </c>
      <c r="E659">
        <v>39</v>
      </c>
      <c r="F659" t="str">
        <f t="shared" si="30"/>
        <v>31 to 40</v>
      </c>
      <c r="G659" t="s">
        <v>158</v>
      </c>
      <c r="H659" t="s">
        <v>159</v>
      </c>
      <c r="I659" t="s">
        <v>18</v>
      </c>
      <c r="J659">
        <v>11</v>
      </c>
      <c r="K659" t="str">
        <f t="shared" si="31"/>
        <v>11 to 20</v>
      </c>
      <c r="L659" s="1">
        <v>100</v>
      </c>
      <c r="M659" t="s">
        <v>2070</v>
      </c>
      <c r="O659">
        <v>2.8</v>
      </c>
      <c r="R659">
        <v>70</v>
      </c>
      <c r="S659" s="2">
        <v>0.7</v>
      </c>
      <c r="T659" s="2" t="str">
        <f t="shared" si="32"/>
        <v>61% to 70 %</v>
      </c>
      <c r="U659">
        <v>0.7</v>
      </c>
    </row>
    <row r="660" spans="1:21" x14ac:dyDescent="0.3">
      <c r="A660" t="s">
        <v>1381</v>
      </c>
      <c r="B660" t="s">
        <v>1382</v>
      </c>
      <c r="C660" t="s">
        <v>76</v>
      </c>
      <c r="D660" t="s">
        <v>80</v>
      </c>
      <c r="E660">
        <v>31</v>
      </c>
      <c r="F660" t="str">
        <f t="shared" si="30"/>
        <v>31 to 40</v>
      </c>
      <c r="G660" t="s">
        <v>155</v>
      </c>
      <c r="H660" t="s">
        <v>17</v>
      </c>
      <c r="I660" t="s">
        <v>63</v>
      </c>
      <c r="J660">
        <v>6</v>
      </c>
      <c r="K660" t="str">
        <f t="shared" si="31"/>
        <v>0 to 10</v>
      </c>
      <c r="O660">
        <v>3.5</v>
      </c>
      <c r="P660" t="s">
        <v>67</v>
      </c>
      <c r="Q660" t="s">
        <v>2077</v>
      </c>
      <c r="R660">
        <v>0.86</v>
      </c>
      <c r="S660" s="2">
        <v>0.86</v>
      </c>
      <c r="T660" s="2" t="str">
        <f t="shared" si="32"/>
        <v>81% to 90%</v>
      </c>
    </row>
    <row r="661" spans="1:21" x14ac:dyDescent="0.3">
      <c r="A661" t="s">
        <v>1383</v>
      </c>
      <c r="B661" t="s">
        <v>1384</v>
      </c>
      <c r="C661" t="s">
        <v>111</v>
      </c>
      <c r="D661" t="s">
        <v>80</v>
      </c>
      <c r="E661">
        <v>58</v>
      </c>
      <c r="F661" t="str">
        <f t="shared" si="30"/>
        <v>51 to 60</v>
      </c>
      <c r="G661" t="s">
        <v>188</v>
      </c>
      <c r="H661" t="s">
        <v>189</v>
      </c>
      <c r="I661" t="s">
        <v>60</v>
      </c>
      <c r="J661">
        <v>11</v>
      </c>
      <c r="K661" t="str">
        <f t="shared" si="31"/>
        <v>11 to 20</v>
      </c>
      <c r="L661" s="1">
        <v>50</v>
      </c>
      <c r="M661" t="s">
        <v>2071</v>
      </c>
      <c r="O661">
        <v>0</v>
      </c>
      <c r="P661">
        <v>0</v>
      </c>
      <c r="Q661" t="s">
        <v>2077</v>
      </c>
      <c r="T661" s="2" t="str">
        <f t="shared" si="32"/>
        <v/>
      </c>
    </row>
    <row r="662" spans="1:21" x14ac:dyDescent="0.3">
      <c r="A662" t="s">
        <v>1385</v>
      </c>
      <c r="B662" t="s">
        <v>1386</v>
      </c>
      <c r="C662" t="s">
        <v>111</v>
      </c>
      <c r="D662" t="s">
        <v>80</v>
      </c>
      <c r="E662">
        <v>40</v>
      </c>
      <c r="F662" t="str">
        <f t="shared" si="30"/>
        <v>31 to 40</v>
      </c>
      <c r="G662" t="s">
        <v>16</v>
      </c>
      <c r="H662" t="s">
        <v>17</v>
      </c>
      <c r="I662" t="s">
        <v>108</v>
      </c>
      <c r="K662" t="str">
        <f t="shared" si="31"/>
        <v/>
      </c>
      <c r="O662">
        <v>1.2</v>
      </c>
      <c r="P662">
        <v>1</v>
      </c>
      <c r="Q662" t="s">
        <v>2076</v>
      </c>
      <c r="R662">
        <v>0.67</v>
      </c>
      <c r="S662" s="2">
        <v>0.67</v>
      </c>
      <c r="T662" s="2" t="str">
        <f t="shared" si="32"/>
        <v>61% to 70 %</v>
      </c>
    </row>
    <row r="663" spans="1:21" x14ac:dyDescent="0.3">
      <c r="A663" t="s">
        <v>1387</v>
      </c>
      <c r="B663" t="s">
        <v>1388</v>
      </c>
      <c r="C663" t="s">
        <v>36</v>
      </c>
      <c r="D663" t="s">
        <v>20</v>
      </c>
      <c r="E663">
        <v>52</v>
      </c>
      <c r="F663" t="str">
        <f t="shared" si="30"/>
        <v>51 to 60</v>
      </c>
      <c r="G663" t="s">
        <v>42</v>
      </c>
      <c r="H663" t="s">
        <v>43</v>
      </c>
      <c r="I663" t="s">
        <v>79</v>
      </c>
      <c r="J663">
        <v>21</v>
      </c>
      <c r="K663" t="str">
        <f t="shared" si="31"/>
        <v>21 to 30</v>
      </c>
      <c r="L663" s="1">
        <v>40</v>
      </c>
      <c r="M663" t="s">
        <v>2068</v>
      </c>
      <c r="N663" t="s">
        <v>2067</v>
      </c>
      <c r="O663">
        <v>4</v>
      </c>
      <c r="R663">
        <v>0.69</v>
      </c>
      <c r="S663" s="2">
        <v>0.69</v>
      </c>
      <c r="T663" s="2" t="str">
        <f t="shared" si="32"/>
        <v>61% to 70 %</v>
      </c>
    </row>
    <row r="664" spans="1:21" x14ac:dyDescent="0.3">
      <c r="A664" t="s">
        <v>1389</v>
      </c>
      <c r="B664" t="s">
        <v>1390</v>
      </c>
      <c r="C664" t="s">
        <v>15</v>
      </c>
      <c r="D664" t="s">
        <v>20</v>
      </c>
      <c r="E664">
        <v>42</v>
      </c>
      <c r="F664" t="str">
        <f t="shared" si="30"/>
        <v>41 to 50</v>
      </c>
      <c r="G664" t="s">
        <v>16</v>
      </c>
      <c r="H664" t="s">
        <v>17</v>
      </c>
      <c r="I664" t="s">
        <v>39</v>
      </c>
      <c r="J664">
        <v>13</v>
      </c>
      <c r="K664" t="str">
        <f t="shared" si="31"/>
        <v>11 to 20</v>
      </c>
      <c r="L664" s="1">
        <v>30</v>
      </c>
      <c r="M664" t="s">
        <v>2069</v>
      </c>
      <c r="O664">
        <v>0</v>
      </c>
      <c r="P664" t="b">
        <v>0</v>
      </c>
      <c r="Q664" t="s">
        <v>2077</v>
      </c>
      <c r="R664">
        <v>0.74</v>
      </c>
      <c r="S664" s="2">
        <v>0.74</v>
      </c>
      <c r="T664" s="2" t="str">
        <f t="shared" si="32"/>
        <v>71% to 80%</v>
      </c>
    </row>
    <row r="665" spans="1:21" x14ac:dyDescent="0.3">
      <c r="A665" t="s">
        <v>1391</v>
      </c>
      <c r="B665" t="s">
        <v>1392</v>
      </c>
      <c r="C665" t="s">
        <v>36</v>
      </c>
      <c r="D665" t="s">
        <v>20</v>
      </c>
      <c r="E665">
        <v>56</v>
      </c>
      <c r="F665" t="str">
        <f t="shared" si="30"/>
        <v>51 to 60</v>
      </c>
      <c r="G665" t="s">
        <v>104</v>
      </c>
      <c r="H665" t="s">
        <v>105</v>
      </c>
      <c r="I665" t="s">
        <v>66</v>
      </c>
      <c r="J665">
        <v>16</v>
      </c>
      <c r="K665" t="str">
        <f t="shared" si="31"/>
        <v>11 to 20</v>
      </c>
      <c r="L665" s="1">
        <v>30</v>
      </c>
      <c r="M665" t="s">
        <v>2068</v>
      </c>
      <c r="N665" t="s">
        <v>2069</v>
      </c>
      <c r="O665">
        <v>0</v>
      </c>
      <c r="P665" t="s">
        <v>19</v>
      </c>
      <c r="Q665" t="s">
        <v>2076</v>
      </c>
      <c r="T665" s="2" t="str">
        <f t="shared" si="32"/>
        <v/>
      </c>
    </row>
    <row r="666" spans="1:21" x14ac:dyDescent="0.3">
      <c r="A666" t="s">
        <v>1393</v>
      </c>
      <c r="B666" t="s">
        <v>1394</v>
      </c>
      <c r="C666" t="s">
        <v>36</v>
      </c>
      <c r="D666" t="s">
        <v>20</v>
      </c>
      <c r="E666">
        <v>27</v>
      </c>
      <c r="F666" t="str">
        <f t="shared" si="30"/>
        <v>21 to 30</v>
      </c>
      <c r="G666" t="s">
        <v>87</v>
      </c>
      <c r="H666" t="s">
        <v>88</v>
      </c>
      <c r="I666" t="s">
        <v>39</v>
      </c>
      <c r="J666">
        <v>1</v>
      </c>
      <c r="K666" t="str">
        <f t="shared" si="31"/>
        <v>0 to 10</v>
      </c>
      <c r="L666" s="1">
        <v>20</v>
      </c>
      <c r="M666" t="s">
        <v>2072</v>
      </c>
      <c r="O666">
        <v>4.3</v>
      </c>
      <c r="P666" t="s">
        <v>53</v>
      </c>
      <c r="Q666" t="s">
        <v>2077</v>
      </c>
      <c r="R666">
        <v>0.76</v>
      </c>
      <c r="S666" s="2">
        <v>0.76</v>
      </c>
      <c r="T666" s="2" t="str">
        <f t="shared" si="32"/>
        <v>71% to 80%</v>
      </c>
    </row>
    <row r="667" spans="1:21" x14ac:dyDescent="0.3">
      <c r="A667" t="s">
        <v>1395</v>
      </c>
      <c r="B667" t="s">
        <v>1396</v>
      </c>
      <c r="C667" t="s">
        <v>15</v>
      </c>
      <c r="D667" t="s">
        <v>20</v>
      </c>
      <c r="E667">
        <v>57</v>
      </c>
      <c r="F667" t="str">
        <f t="shared" si="30"/>
        <v>51 to 60</v>
      </c>
      <c r="G667" t="s">
        <v>254</v>
      </c>
      <c r="H667" t="s">
        <v>255</v>
      </c>
      <c r="I667" t="s">
        <v>39</v>
      </c>
      <c r="J667">
        <v>3</v>
      </c>
      <c r="K667" t="str">
        <f t="shared" si="31"/>
        <v>0 to 10</v>
      </c>
      <c r="L667" s="1">
        <v>100</v>
      </c>
      <c r="M667" t="s">
        <v>2068</v>
      </c>
      <c r="N667" t="s">
        <v>2070</v>
      </c>
      <c r="O667">
        <v>1.8</v>
      </c>
      <c r="P667" t="s">
        <v>19</v>
      </c>
      <c r="Q667" t="s">
        <v>2076</v>
      </c>
      <c r="R667">
        <v>0.68</v>
      </c>
      <c r="S667" s="2">
        <v>0.68</v>
      </c>
      <c r="T667" s="2" t="str">
        <f t="shared" si="32"/>
        <v>61% to 70 %</v>
      </c>
    </row>
    <row r="668" spans="1:21" x14ac:dyDescent="0.3">
      <c r="A668" t="s">
        <v>1397</v>
      </c>
      <c r="B668" t="s">
        <v>1398</v>
      </c>
      <c r="C668" t="s">
        <v>15</v>
      </c>
      <c r="D668" t="s">
        <v>20</v>
      </c>
      <c r="E668">
        <v>52</v>
      </c>
      <c r="F668" t="str">
        <f t="shared" si="30"/>
        <v>51 to 60</v>
      </c>
      <c r="G668" t="s">
        <v>37</v>
      </c>
      <c r="H668" t="s">
        <v>38</v>
      </c>
      <c r="I668" t="s">
        <v>108</v>
      </c>
      <c r="J668">
        <v>22</v>
      </c>
      <c r="K668" t="str">
        <f t="shared" si="31"/>
        <v>21 to 30</v>
      </c>
      <c r="L668" s="1">
        <v>50</v>
      </c>
      <c r="M668" t="s">
        <v>2065</v>
      </c>
      <c r="N668" t="s">
        <v>2071</v>
      </c>
      <c r="P668">
        <v>1</v>
      </c>
      <c r="Q668" t="s">
        <v>2076</v>
      </c>
      <c r="T668" s="2" t="str">
        <f t="shared" si="32"/>
        <v/>
      </c>
    </row>
    <row r="669" spans="1:21" x14ac:dyDescent="0.3">
      <c r="A669" t="s">
        <v>1399</v>
      </c>
      <c r="B669" t="s">
        <v>1400</v>
      </c>
      <c r="C669" t="s">
        <v>36</v>
      </c>
      <c r="D669" t="s">
        <v>20</v>
      </c>
      <c r="E669">
        <v>22</v>
      </c>
      <c r="F669" t="str">
        <f t="shared" si="30"/>
        <v>21 to 30</v>
      </c>
      <c r="G669" t="s">
        <v>155</v>
      </c>
      <c r="H669" t="s">
        <v>17</v>
      </c>
      <c r="I669" t="s">
        <v>63</v>
      </c>
      <c r="J669">
        <v>2</v>
      </c>
      <c r="K669" t="str">
        <f t="shared" si="31"/>
        <v>0 to 10</v>
      </c>
      <c r="O669">
        <v>0</v>
      </c>
      <c r="P669">
        <v>1</v>
      </c>
      <c r="Q669" t="s">
        <v>2076</v>
      </c>
      <c r="T669" s="2" t="str">
        <f t="shared" si="32"/>
        <v/>
      </c>
    </row>
    <row r="670" spans="1:21" x14ac:dyDescent="0.3">
      <c r="A670" t="s">
        <v>1401</v>
      </c>
      <c r="B670" t="s">
        <v>1402</v>
      </c>
      <c r="C670" t="s">
        <v>15</v>
      </c>
      <c r="D670" t="s">
        <v>20</v>
      </c>
      <c r="E670">
        <v>48</v>
      </c>
      <c r="F670" t="str">
        <f t="shared" si="30"/>
        <v>41 to 50</v>
      </c>
      <c r="G670" t="s">
        <v>139</v>
      </c>
      <c r="H670" t="s">
        <v>59</v>
      </c>
      <c r="I670" t="s">
        <v>47</v>
      </c>
      <c r="J670">
        <v>21</v>
      </c>
      <c r="K670" t="str">
        <f t="shared" si="31"/>
        <v>21 to 30</v>
      </c>
      <c r="L670" s="1">
        <v>50</v>
      </c>
      <c r="M670" t="s">
        <v>2071</v>
      </c>
      <c r="O670">
        <v>4</v>
      </c>
      <c r="P670">
        <v>0</v>
      </c>
      <c r="Q670" t="s">
        <v>2077</v>
      </c>
      <c r="R670">
        <v>0.78</v>
      </c>
      <c r="S670" s="2">
        <v>0.78</v>
      </c>
      <c r="T670" s="2" t="str">
        <f t="shared" si="32"/>
        <v>71% to 80%</v>
      </c>
    </row>
    <row r="671" spans="1:21" x14ac:dyDescent="0.3">
      <c r="A671" t="s">
        <v>1403</v>
      </c>
      <c r="B671" t="s">
        <v>1404</v>
      </c>
      <c r="C671" t="s">
        <v>36</v>
      </c>
      <c r="D671" t="s">
        <v>20</v>
      </c>
      <c r="F671" t="str">
        <f t="shared" si="30"/>
        <v/>
      </c>
      <c r="G671" t="s">
        <v>37</v>
      </c>
      <c r="H671" t="s">
        <v>38</v>
      </c>
      <c r="I671" t="s">
        <v>33</v>
      </c>
      <c r="J671">
        <v>10</v>
      </c>
      <c r="K671" t="str">
        <f t="shared" si="31"/>
        <v>0 to 10</v>
      </c>
      <c r="L671" s="1">
        <v>40</v>
      </c>
      <c r="M671" t="s">
        <v>2068</v>
      </c>
      <c r="N671" t="s">
        <v>2067</v>
      </c>
      <c r="O671">
        <v>0</v>
      </c>
      <c r="T671" s="2" t="str">
        <f t="shared" si="32"/>
        <v/>
      </c>
    </row>
    <row r="672" spans="1:21" x14ac:dyDescent="0.3">
      <c r="A672" t="s">
        <v>1405</v>
      </c>
      <c r="B672" t="s">
        <v>1406</v>
      </c>
      <c r="C672" t="s">
        <v>36</v>
      </c>
      <c r="D672" t="s">
        <v>20</v>
      </c>
      <c r="E672">
        <v>32</v>
      </c>
      <c r="F672" t="str">
        <f t="shared" si="30"/>
        <v>31 to 40</v>
      </c>
      <c r="G672" t="s">
        <v>23</v>
      </c>
      <c r="H672" t="s">
        <v>24</v>
      </c>
      <c r="I672" t="s">
        <v>52</v>
      </c>
      <c r="J672">
        <v>10</v>
      </c>
      <c r="K672" t="str">
        <f t="shared" si="31"/>
        <v>0 to 10</v>
      </c>
      <c r="L672" s="1">
        <v>20</v>
      </c>
      <c r="M672" t="s">
        <v>2065</v>
      </c>
      <c r="N672" t="s">
        <v>2072</v>
      </c>
      <c r="O672">
        <v>2.4</v>
      </c>
      <c r="P672">
        <v>0</v>
      </c>
      <c r="Q672" t="s">
        <v>2077</v>
      </c>
      <c r="R672">
        <v>0.86</v>
      </c>
      <c r="S672" s="2">
        <v>0.86</v>
      </c>
      <c r="T672" s="2" t="str">
        <f t="shared" si="32"/>
        <v>81% to 90%</v>
      </c>
    </row>
    <row r="673" spans="1:21" x14ac:dyDescent="0.3">
      <c r="A673" t="s">
        <v>1407</v>
      </c>
      <c r="B673" t="s">
        <v>1406</v>
      </c>
      <c r="C673" t="s">
        <v>15</v>
      </c>
      <c r="D673" t="s">
        <v>20</v>
      </c>
      <c r="E673">
        <v>41</v>
      </c>
      <c r="F673" t="str">
        <f t="shared" si="30"/>
        <v>41 to 50</v>
      </c>
      <c r="G673" t="s">
        <v>254</v>
      </c>
      <c r="H673" t="s">
        <v>255</v>
      </c>
      <c r="I673" t="s">
        <v>66</v>
      </c>
      <c r="K673" t="str">
        <f t="shared" si="31"/>
        <v/>
      </c>
      <c r="L673" s="1">
        <v>30</v>
      </c>
      <c r="M673" t="s">
        <v>2065</v>
      </c>
      <c r="N673" t="s">
        <v>2069</v>
      </c>
      <c r="O673">
        <v>1.4</v>
      </c>
      <c r="P673" t="b">
        <v>0</v>
      </c>
      <c r="Q673" t="s">
        <v>2077</v>
      </c>
      <c r="R673">
        <v>0.74</v>
      </c>
      <c r="S673" s="2">
        <v>0.74</v>
      </c>
      <c r="T673" s="2" t="str">
        <f t="shared" si="32"/>
        <v>71% to 80%</v>
      </c>
    </row>
    <row r="674" spans="1:21" x14ac:dyDescent="0.3">
      <c r="A674" t="s">
        <v>1408</v>
      </c>
      <c r="B674" t="s">
        <v>1409</v>
      </c>
      <c r="C674" t="s">
        <v>15</v>
      </c>
      <c r="D674" t="s">
        <v>20</v>
      </c>
      <c r="E674">
        <v>38</v>
      </c>
      <c r="F674" t="str">
        <f t="shared" si="30"/>
        <v>31 to 40</v>
      </c>
      <c r="G674" t="s">
        <v>37</v>
      </c>
      <c r="H674" t="s">
        <v>38</v>
      </c>
      <c r="I674" t="s">
        <v>18</v>
      </c>
      <c r="J674">
        <v>19</v>
      </c>
      <c r="K674" t="str">
        <f t="shared" si="31"/>
        <v>11 to 20</v>
      </c>
      <c r="L674" s="1">
        <v>40</v>
      </c>
      <c r="M674" t="s">
        <v>2067</v>
      </c>
      <c r="O674">
        <v>0</v>
      </c>
      <c r="P674">
        <v>1</v>
      </c>
      <c r="Q674" t="s">
        <v>2076</v>
      </c>
      <c r="R674">
        <v>0.86</v>
      </c>
      <c r="S674" s="2">
        <v>0.86</v>
      </c>
      <c r="T674" s="2" t="str">
        <f t="shared" si="32"/>
        <v>81% to 90%</v>
      </c>
    </row>
    <row r="675" spans="1:21" x14ac:dyDescent="0.3">
      <c r="A675" t="s">
        <v>1410</v>
      </c>
      <c r="B675" t="s">
        <v>1411</v>
      </c>
      <c r="C675" t="s">
        <v>15</v>
      </c>
      <c r="D675" t="s">
        <v>20</v>
      </c>
      <c r="E675">
        <v>24</v>
      </c>
      <c r="F675" t="str">
        <f t="shared" si="30"/>
        <v>21 to 30</v>
      </c>
      <c r="G675" t="s">
        <v>31</v>
      </c>
      <c r="H675" t="s">
        <v>32</v>
      </c>
      <c r="I675" t="s">
        <v>18</v>
      </c>
      <c r="J675">
        <v>3</v>
      </c>
      <c r="K675" t="str">
        <f t="shared" si="31"/>
        <v>0 to 10</v>
      </c>
      <c r="L675" s="1">
        <v>30</v>
      </c>
      <c r="M675" t="s">
        <v>2068</v>
      </c>
      <c r="N675" t="s">
        <v>2069</v>
      </c>
      <c r="O675">
        <v>3.9</v>
      </c>
      <c r="P675" t="s">
        <v>53</v>
      </c>
      <c r="Q675" t="s">
        <v>2077</v>
      </c>
      <c r="R675">
        <v>0.9</v>
      </c>
      <c r="S675" s="2">
        <v>0.9</v>
      </c>
      <c r="T675" s="2" t="str">
        <f t="shared" si="32"/>
        <v>81% to 90%</v>
      </c>
    </row>
    <row r="676" spans="1:21" x14ac:dyDescent="0.3">
      <c r="A676" t="s">
        <v>1412</v>
      </c>
      <c r="B676" t="s">
        <v>1413</v>
      </c>
      <c r="C676" t="s">
        <v>36</v>
      </c>
      <c r="D676" t="s">
        <v>20</v>
      </c>
      <c r="E676">
        <v>47</v>
      </c>
      <c r="F676" t="str">
        <f t="shared" si="30"/>
        <v>41 to 50</v>
      </c>
      <c r="G676" t="s">
        <v>37</v>
      </c>
      <c r="H676" t="s">
        <v>38</v>
      </c>
      <c r="I676" t="s">
        <v>66</v>
      </c>
      <c r="J676">
        <v>16</v>
      </c>
      <c r="K676" t="str">
        <f t="shared" si="31"/>
        <v>11 to 20</v>
      </c>
      <c r="L676" s="1">
        <v>100</v>
      </c>
      <c r="M676" t="s">
        <v>2065</v>
      </c>
      <c r="N676" t="s">
        <v>2070</v>
      </c>
      <c r="O676">
        <v>3.3</v>
      </c>
      <c r="P676">
        <v>0</v>
      </c>
      <c r="Q676" t="s">
        <v>2077</v>
      </c>
      <c r="R676">
        <v>0.65</v>
      </c>
      <c r="S676" s="2">
        <v>0.65</v>
      </c>
      <c r="T676" s="2" t="str">
        <f t="shared" si="32"/>
        <v>61% to 70 %</v>
      </c>
    </row>
    <row r="677" spans="1:21" x14ac:dyDescent="0.3">
      <c r="A677" t="s">
        <v>1414</v>
      </c>
      <c r="B677" t="s">
        <v>1415</v>
      </c>
      <c r="C677" t="s">
        <v>76</v>
      </c>
      <c r="D677" t="s">
        <v>80</v>
      </c>
      <c r="E677">
        <v>40</v>
      </c>
      <c r="F677" t="str">
        <f t="shared" si="30"/>
        <v>31 to 40</v>
      </c>
      <c r="G677" t="s">
        <v>58</v>
      </c>
      <c r="H677" t="s">
        <v>59</v>
      </c>
      <c r="I677" t="s">
        <v>66</v>
      </c>
      <c r="J677">
        <v>12</v>
      </c>
      <c r="K677" t="str">
        <f t="shared" si="31"/>
        <v>11 to 20</v>
      </c>
      <c r="L677" s="1">
        <v>30</v>
      </c>
      <c r="M677" t="s">
        <v>2069</v>
      </c>
      <c r="O677">
        <v>3.5</v>
      </c>
      <c r="R677">
        <v>0.98</v>
      </c>
      <c r="S677" s="2">
        <v>0.98</v>
      </c>
      <c r="T677" s="2" t="str">
        <f t="shared" si="32"/>
        <v>91% to 100%</v>
      </c>
    </row>
    <row r="678" spans="1:21" x14ac:dyDescent="0.3">
      <c r="A678" t="s">
        <v>1416</v>
      </c>
      <c r="B678" t="s">
        <v>1417</v>
      </c>
      <c r="C678" t="s">
        <v>15</v>
      </c>
      <c r="D678" t="s">
        <v>20</v>
      </c>
      <c r="E678">
        <v>25</v>
      </c>
      <c r="F678" t="str">
        <f t="shared" si="30"/>
        <v>21 to 30</v>
      </c>
      <c r="G678" t="s">
        <v>31</v>
      </c>
      <c r="H678" t="s">
        <v>32</v>
      </c>
      <c r="I678" t="s">
        <v>60</v>
      </c>
      <c r="J678">
        <v>3</v>
      </c>
      <c r="K678" t="str">
        <f t="shared" si="31"/>
        <v>0 to 10</v>
      </c>
      <c r="L678" s="1">
        <v>75</v>
      </c>
      <c r="M678" t="s">
        <v>2066</v>
      </c>
      <c r="P678">
        <v>0</v>
      </c>
      <c r="Q678" t="s">
        <v>2077</v>
      </c>
      <c r="R678">
        <v>0.83</v>
      </c>
      <c r="S678" s="2">
        <v>0.83</v>
      </c>
      <c r="T678" s="2" t="str">
        <f t="shared" si="32"/>
        <v>81% to 90%</v>
      </c>
    </row>
    <row r="679" spans="1:21" x14ac:dyDescent="0.3">
      <c r="A679" t="s">
        <v>1418</v>
      </c>
      <c r="B679" t="s">
        <v>1419</v>
      </c>
      <c r="C679" t="s">
        <v>76</v>
      </c>
      <c r="D679" t="s">
        <v>80</v>
      </c>
      <c r="E679">
        <v>23</v>
      </c>
      <c r="F679" t="str">
        <f t="shared" si="30"/>
        <v>21 to 30</v>
      </c>
      <c r="G679" t="s">
        <v>58</v>
      </c>
      <c r="H679" t="s">
        <v>59</v>
      </c>
      <c r="I679" t="s">
        <v>18</v>
      </c>
      <c r="J679">
        <v>4</v>
      </c>
      <c r="K679" t="str">
        <f t="shared" si="31"/>
        <v>0 to 10</v>
      </c>
      <c r="L679" s="1">
        <v>20</v>
      </c>
      <c r="M679" t="s">
        <v>2068</v>
      </c>
      <c r="N679" t="s">
        <v>2072</v>
      </c>
      <c r="P679">
        <v>0</v>
      </c>
      <c r="Q679" t="s">
        <v>2077</v>
      </c>
      <c r="R679">
        <v>0.71</v>
      </c>
      <c r="S679" s="2">
        <v>0.71</v>
      </c>
      <c r="T679" s="2" t="str">
        <f t="shared" si="32"/>
        <v>71% to 80%</v>
      </c>
    </row>
    <row r="680" spans="1:21" x14ac:dyDescent="0.3">
      <c r="A680" t="s">
        <v>1420</v>
      </c>
      <c r="B680" t="s">
        <v>1421</v>
      </c>
      <c r="C680" t="s">
        <v>111</v>
      </c>
      <c r="D680" t="s">
        <v>80</v>
      </c>
      <c r="E680">
        <v>36</v>
      </c>
      <c r="F680" t="str">
        <f t="shared" si="30"/>
        <v>31 to 40</v>
      </c>
      <c r="G680" t="s">
        <v>104</v>
      </c>
      <c r="H680" t="s">
        <v>105</v>
      </c>
      <c r="I680" t="s">
        <v>39</v>
      </c>
      <c r="J680">
        <v>17</v>
      </c>
      <c r="K680" t="str">
        <f t="shared" si="31"/>
        <v>11 to 20</v>
      </c>
      <c r="L680" s="1">
        <v>20</v>
      </c>
      <c r="M680" t="s">
        <v>2065</v>
      </c>
      <c r="N680" t="s">
        <v>2072</v>
      </c>
      <c r="O680">
        <v>0</v>
      </c>
      <c r="P680">
        <v>1</v>
      </c>
      <c r="Q680" t="s">
        <v>2076</v>
      </c>
      <c r="R680">
        <v>99</v>
      </c>
      <c r="S680" s="2">
        <v>0.99</v>
      </c>
      <c r="T680" s="2" t="str">
        <f t="shared" si="32"/>
        <v>91% to 100%</v>
      </c>
      <c r="U680">
        <v>0.99</v>
      </c>
    </row>
    <row r="681" spans="1:21" x14ac:dyDescent="0.3">
      <c r="A681" t="s">
        <v>1422</v>
      </c>
      <c r="B681" t="s">
        <v>1423</v>
      </c>
      <c r="C681" t="s">
        <v>76</v>
      </c>
      <c r="D681" t="s">
        <v>80</v>
      </c>
      <c r="E681">
        <v>34</v>
      </c>
      <c r="F681" t="str">
        <f t="shared" si="30"/>
        <v>31 to 40</v>
      </c>
      <c r="G681" t="s">
        <v>27</v>
      </c>
      <c r="H681" t="s">
        <v>28</v>
      </c>
      <c r="I681" t="s">
        <v>18</v>
      </c>
      <c r="J681">
        <v>3</v>
      </c>
      <c r="K681" t="str">
        <f t="shared" si="31"/>
        <v>0 to 10</v>
      </c>
      <c r="P681" t="b">
        <v>0</v>
      </c>
      <c r="Q681" t="s">
        <v>2077</v>
      </c>
      <c r="R681">
        <v>0.77</v>
      </c>
      <c r="S681" s="2">
        <v>0.77</v>
      </c>
      <c r="T681" s="2" t="str">
        <f t="shared" si="32"/>
        <v>71% to 80%</v>
      </c>
    </row>
    <row r="682" spans="1:21" x14ac:dyDescent="0.3">
      <c r="A682" t="s">
        <v>1424</v>
      </c>
      <c r="B682" t="s">
        <v>1425</v>
      </c>
      <c r="C682" t="s">
        <v>111</v>
      </c>
      <c r="D682" t="s">
        <v>80</v>
      </c>
      <c r="E682">
        <v>33</v>
      </c>
      <c r="F682" t="str">
        <f t="shared" si="30"/>
        <v>31 to 40</v>
      </c>
      <c r="G682" t="s">
        <v>158</v>
      </c>
      <c r="H682" t="s">
        <v>159</v>
      </c>
      <c r="I682" t="s">
        <v>52</v>
      </c>
      <c r="K682" t="str">
        <f t="shared" si="31"/>
        <v/>
      </c>
      <c r="O682">
        <v>4.2</v>
      </c>
      <c r="P682" t="s">
        <v>96</v>
      </c>
      <c r="Q682" t="s">
        <v>2076</v>
      </c>
      <c r="R682">
        <v>0.9</v>
      </c>
      <c r="S682" s="2">
        <v>0.9</v>
      </c>
      <c r="T682" s="2" t="str">
        <f t="shared" si="32"/>
        <v>81% to 90%</v>
      </c>
    </row>
    <row r="683" spans="1:21" x14ac:dyDescent="0.3">
      <c r="A683" t="s">
        <v>1426</v>
      </c>
      <c r="B683" t="s">
        <v>1427</v>
      </c>
      <c r="C683" t="s">
        <v>76</v>
      </c>
      <c r="D683" t="s">
        <v>80</v>
      </c>
      <c r="E683">
        <v>47</v>
      </c>
      <c r="F683" t="str">
        <f t="shared" si="30"/>
        <v>41 to 50</v>
      </c>
      <c r="G683" t="s">
        <v>91</v>
      </c>
      <c r="H683" t="s">
        <v>59</v>
      </c>
      <c r="I683" t="s">
        <v>108</v>
      </c>
      <c r="J683">
        <v>22</v>
      </c>
      <c r="K683" t="str">
        <f t="shared" si="31"/>
        <v>21 to 30</v>
      </c>
      <c r="L683" s="1">
        <v>30</v>
      </c>
      <c r="M683" t="s">
        <v>2069</v>
      </c>
      <c r="O683">
        <v>1.3</v>
      </c>
      <c r="P683">
        <v>0</v>
      </c>
      <c r="Q683" t="s">
        <v>2077</v>
      </c>
      <c r="R683">
        <v>0.62</v>
      </c>
      <c r="S683" s="2">
        <v>0.62</v>
      </c>
      <c r="T683" s="2" t="str">
        <f t="shared" si="32"/>
        <v>61% to 70 %</v>
      </c>
    </row>
    <row r="684" spans="1:21" x14ac:dyDescent="0.3">
      <c r="A684" t="s">
        <v>1428</v>
      </c>
      <c r="B684" t="s">
        <v>1429</v>
      </c>
      <c r="C684" t="s">
        <v>76</v>
      </c>
      <c r="D684" t="s">
        <v>80</v>
      </c>
      <c r="E684">
        <v>55</v>
      </c>
      <c r="F684" t="str">
        <f t="shared" si="30"/>
        <v>51 to 60</v>
      </c>
      <c r="G684" t="s">
        <v>31</v>
      </c>
      <c r="H684" t="s">
        <v>32</v>
      </c>
      <c r="I684" t="s">
        <v>18</v>
      </c>
      <c r="J684">
        <v>18</v>
      </c>
      <c r="K684" t="str">
        <f t="shared" si="31"/>
        <v>11 to 20</v>
      </c>
      <c r="L684" s="1">
        <v>100</v>
      </c>
      <c r="M684" t="s">
        <v>2070</v>
      </c>
      <c r="O684">
        <v>2.9</v>
      </c>
      <c r="P684">
        <v>0</v>
      </c>
      <c r="Q684" t="s">
        <v>2077</v>
      </c>
      <c r="R684">
        <v>97</v>
      </c>
      <c r="S684" s="2">
        <v>0.97</v>
      </c>
      <c r="T684" s="2" t="str">
        <f t="shared" si="32"/>
        <v>91% to 100%</v>
      </c>
      <c r="U684">
        <v>0.97</v>
      </c>
    </row>
    <row r="685" spans="1:21" x14ac:dyDescent="0.3">
      <c r="A685" t="s">
        <v>1430</v>
      </c>
      <c r="B685" t="s">
        <v>1431</v>
      </c>
      <c r="C685" t="s">
        <v>111</v>
      </c>
      <c r="D685" t="s">
        <v>80</v>
      </c>
      <c r="E685">
        <v>21</v>
      </c>
      <c r="F685" t="str">
        <f t="shared" si="30"/>
        <v>21 to 30</v>
      </c>
      <c r="G685" t="s">
        <v>77</v>
      </c>
      <c r="H685" t="s">
        <v>78</v>
      </c>
      <c r="I685" t="s">
        <v>52</v>
      </c>
      <c r="J685">
        <v>1</v>
      </c>
      <c r="K685" t="str">
        <f t="shared" si="31"/>
        <v>0 to 10</v>
      </c>
      <c r="L685" s="1">
        <v>30</v>
      </c>
      <c r="M685" t="s">
        <v>2069</v>
      </c>
      <c r="O685">
        <v>1.2</v>
      </c>
      <c r="R685">
        <v>0.73</v>
      </c>
      <c r="S685" s="2">
        <v>0.73</v>
      </c>
      <c r="T685" s="2" t="str">
        <f t="shared" si="32"/>
        <v>71% to 80%</v>
      </c>
    </row>
    <row r="686" spans="1:21" x14ac:dyDescent="0.3">
      <c r="A686" t="s">
        <v>1432</v>
      </c>
      <c r="B686" t="s">
        <v>1433</v>
      </c>
      <c r="C686" t="s">
        <v>111</v>
      </c>
      <c r="D686" t="s">
        <v>80</v>
      </c>
      <c r="E686">
        <v>20</v>
      </c>
      <c r="F686" t="str">
        <f t="shared" si="30"/>
        <v>11 to 20</v>
      </c>
      <c r="G686" t="s">
        <v>37</v>
      </c>
      <c r="H686" t="s">
        <v>38</v>
      </c>
      <c r="I686" t="s">
        <v>52</v>
      </c>
      <c r="J686">
        <v>0</v>
      </c>
      <c r="K686" t="str">
        <f t="shared" si="31"/>
        <v>0 to 10</v>
      </c>
      <c r="L686" s="1">
        <v>100</v>
      </c>
      <c r="M686" t="s">
        <v>2070</v>
      </c>
      <c r="O686">
        <v>0</v>
      </c>
      <c r="P686">
        <v>0</v>
      </c>
      <c r="Q686" t="s">
        <v>2077</v>
      </c>
      <c r="R686">
        <v>63</v>
      </c>
      <c r="S686" s="2">
        <v>0.63</v>
      </c>
      <c r="T686" s="2" t="str">
        <f t="shared" si="32"/>
        <v>61% to 70 %</v>
      </c>
      <c r="U686">
        <v>0.63</v>
      </c>
    </row>
    <row r="687" spans="1:21" x14ac:dyDescent="0.3">
      <c r="A687" t="s">
        <v>1434</v>
      </c>
      <c r="B687" t="s">
        <v>1435</v>
      </c>
      <c r="C687" t="s">
        <v>76</v>
      </c>
      <c r="D687" t="s">
        <v>80</v>
      </c>
      <c r="E687">
        <v>51</v>
      </c>
      <c r="F687" t="str">
        <f t="shared" si="30"/>
        <v>51 to 60</v>
      </c>
      <c r="G687" t="s">
        <v>42</v>
      </c>
      <c r="H687" t="s">
        <v>43</v>
      </c>
      <c r="I687" t="s">
        <v>47</v>
      </c>
      <c r="J687">
        <v>15</v>
      </c>
      <c r="K687" t="str">
        <f t="shared" si="31"/>
        <v>11 to 20</v>
      </c>
      <c r="L687" s="1">
        <v>50</v>
      </c>
      <c r="M687" t="s">
        <v>2065</v>
      </c>
      <c r="N687" t="s">
        <v>2071</v>
      </c>
      <c r="O687">
        <v>1.3</v>
      </c>
      <c r="P687">
        <v>1</v>
      </c>
      <c r="Q687" t="s">
        <v>2076</v>
      </c>
      <c r="R687">
        <v>1</v>
      </c>
      <c r="S687" s="2">
        <v>1</v>
      </c>
      <c r="T687" s="2" t="str">
        <f t="shared" si="32"/>
        <v>91% to 100%</v>
      </c>
    </row>
    <row r="688" spans="1:21" x14ac:dyDescent="0.3">
      <c r="A688" t="s">
        <v>1436</v>
      </c>
      <c r="B688" t="s">
        <v>1437</v>
      </c>
      <c r="C688" t="s">
        <v>76</v>
      </c>
      <c r="D688" t="s">
        <v>80</v>
      </c>
      <c r="E688">
        <v>23</v>
      </c>
      <c r="F688" t="str">
        <f t="shared" si="30"/>
        <v>21 to 30</v>
      </c>
      <c r="G688" t="s">
        <v>254</v>
      </c>
      <c r="H688" t="s">
        <v>255</v>
      </c>
      <c r="I688" t="s">
        <v>63</v>
      </c>
      <c r="J688">
        <v>1</v>
      </c>
      <c r="K688" t="str">
        <f t="shared" si="31"/>
        <v>0 to 10</v>
      </c>
      <c r="L688" s="1">
        <v>30</v>
      </c>
      <c r="M688" t="s">
        <v>2069</v>
      </c>
      <c r="O688">
        <v>5</v>
      </c>
      <c r="P688" t="s">
        <v>53</v>
      </c>
      <c r="Q688" t="s">
        <v>2077</v>
      </c>
      <c r="R688">
        <v>0.97</v>
      </c>
      <c r="S688" s="2">
        <v>0.97</v>
      </c>
      <c r="T688" s="2" t="str">
        <f t="shared" si="32"/>
        <v>91% to 100%</v>
      </c>
    </row>
    <row r="689" spans="1:21" x14ac:dyDescent="0.3">
      <c r="A689" t="s">
        <v>1438</v>
      </c>
      <c r="B689" t="s">
        <v>1439</v>
      </c>
      <c r="C689" t="s">
        <v>76</v>
      </c>
      <c r="D689" t="s">
        <v>80</v>
      </c>
      <c r="E689">
        <v>47</v>
      </c>
      <c r="F689" t="str">
        <f t="shared" si="30"/>
        <v>41 to 50</v>
      </c>
      <c r="G689" t="s">
        <v>188</v>
      </c>
      <c r="H689" t="s">
        <v>189</v>
      </c>
      <c r="I689" t="s">
        <v>52</v>
      </c>
      <c r="J689">
        <v>14</v>
      </c>
      <c r="K689" t="str">
        <f t="shared" si="31"/>
        <v>11 to 20</v>
      </c>
      <c r="P689" t="b">
        <v>0</v>
      </c>
      <c r="Q689" t="s">
        <v>2077</v>
      </c>
      <c r="R689">
        <v>0.69</v>
      </c>
      <c r="S689" s="2">
        <v>0.69</v>
      </c>
      <c r="T689" s="2" t="str">
        <f t="shared" si="32"/>
        <v>61% to 70 %</v>
      </c>
    </row>
    <row r="690" spans="1:21" x14ac:dyDescent="0.3">
      <c r="A690" t="s">
        <v>1440</v>
      </c>
      <c r="B690" t="s">
        <v>1441</v>
      </c>
      <c r="C690" t="s">
        <v>111</v>
      </c>
      <c r="D690" t="s">
        <v>80</v>
      </c>
      <c r="E690">
        <v>42</v>
      </c>
      <c r="F690" t="str">
        <f t="shared" si="30"/>
        <v>41 to 50</v>
      </c>
      <c r="G690" t="s">
        <v>188</v>
      </c>
      <c r="H690" t="s">
        <v>189</v>
      </c>
      <c r="I690" t="s">
        <v>52</v>
      </c>
      <c r="J690">
        <v>23</v>
      </c>
      <c r="K690" t="str">
        <f t="shared" si="31"/>
        <v>21 to 30</v>
      </c>
      <c r="L690" s="1">
        <v>50</v>
      </c>
      <c r="M690" t="s">
        <v>2071</v>
      </c>
      <c r="O690">
        <v>3.2</v>
      </c>
      <c r="P690" t="s">
        <v>19</v>
      </c>
      <c r="Q690" t="s">
        <v>2076</v>
      </c>
      <c r="T690" s="2" t="str">
        <f t="shared" si="32"/>
        <v/>
      </c>
    </row>
    <row r="691" spans="1:21" x14ac:dyDescent="0.3">
      <c r="A691" t="s">
        <v>1442</v>
      </c>
      <c r="B691" t="s">
        <v>1443</v>
      </c>
      <c r="C691" t="s">
        <v>111</v>
      </c>
      <c r="D691" t="s">
        <v>80</v>
      </c>
      <c r="E691">
        <v>56</v>
      </c>
      <c r="F691" t="str">
        <f t="shared" si="30"/>
        <v>51 to 60</v>
      </c>
      <c r="G691" t="s">
        <v>91</v>
      </c>
      <c r="H691" t="s">
        <v>59</v>
      </c>
      <c r="I691" t="s">
        <v>60</v>
      </c>
      <c r="J691">
        <v>19</v>
      </c>
      <c r="K691" t="str">
        <f t="shared" si="31"/>
        <v>11 to 20</v>
      </c>
      <c r="L691" s="1">
        <v>20</v>
      </c>
      <c r="M691" t="s">
        <v>2072</v>
      </c>
      <c r="O691">
        <v>0</v>
      </c>
      <c r="P691">
        <v>0</v>
      </c>
      <c r="Q691" t="s">
        <v>2077</v>
      </c>
      <c r="R691">
        <v>0.87</v>
      </c>
      <c r="S691" s="2">
        <v>0.87</v>
      </c>
      <c r="T691" s="2" t="str">
        <f t="shared" si="32"/>
        <v>81% to 90%</v>
      </c>
    </row>
    <row r="692" spans="1:21" x14ac:dyDescent="0.3">
      <c r="A692" t="s">
        <v>1444</v>
      </c>
      <c r="B692" t="s">
        <v>1445</v>
      </c>
      <c r="C692" t="s">
        <v>111</v>
      </c>
      <c r="D692" t="s">
        <v>80</v>
      </c>
      <c r="E692">
        <v>49</v>
      </c>
      <c r="F692" t="str">
        <f t="shared" si="30"/>
        <v>41 to 50</v>
      </c>
      <c r="G692" t="s">
        <v>155</v>
      </c>
      <c r="H692" t="s">
        <v>17</v>
      </c>
      <c r="I692" t="s">
        <v>79</v>
      </c>
      <c r="K692" t="str">
        <f t="shared" si="31"/>
        <v/>
      </c>
      <c r="O692">
        <v>1.8</v>
      </c>
      <c r="P692">
        <v>0</v>
      </c>
      <c r="Q692" t="s">
        <v>2077</v>
      </c>
      <c r="T692" s="2" t="str">
        <f t="shared" si="32"/>
        <v/>
      </c>
    </row>
    <row r="693" spans="1:21" x14ac:dyDescent="0.3">
      <c r="A693" t="s">
        <v>1446</v>
      </c>
      <c r="B693" t="s">
        <v>1447</v>
      </c>
      <c r="C693" t="s">
        <v>111</v>
      </c>
      <c r="D693" t="s">
        <v>80</v>
      </c>
      <c r="E693">
        <v>58</v>
      </c>
      <c r="F693" t="str">
        <f t="shared" si="30"/>
        <v>51 to 60</v>
      </c>
      <c r="G693" t="s">
        <v>155</v>
      </c>
      <c r="H693" t="s">
        <v>17</v>
      </c>
      <c r="I693" t="s">
        <v>66</v>
      </c>
      <c r="J693">
        <v>30</v>
      </c>
      <c r="K693" t="str">
        <f t="shared" si="31"/>
        <v>21 to 30</v>
      </c>
      <c r="L693" s="1">
        <v>50</v>
      </c>
      <c r="M693" t="s">
        <v>2071</v>
      </c>
      <c r="O693">
        <v>1.3</v>
      </c>
      <c r="P693" t="s">
        <v>19</v>
      </c>
      <c r="Q693" t="s">
        <v>2076</v>
      </c>
      <c r="R693">
        <v>0.87</v>
      </c>
      <c r="S693" s="2">
        <v>0.87</v>
      </c>
      <c r="T693" s="2" t="str">
        <f t="shared" si="32"/>
        <v>81% to 90%</v>
      </c>
    </row>
    <row r="694" spans="1:21" x14ac:dyDescent="0.3">
      <c r="A694" t="s">
        <v>1448</v>
      </c>
      <c r="B694" t="s">
        <v>1449</v>
      </c>
      <c r="C694" t="s">
        <v>111</v>
      </c>
      <c r="D694" t="s">
        <v>80</v>
      </c>
      <c r="E694">
        <v>46</v>
      </c>
      <c r="F694" t="str">
        <f t="shared" si="30"/>
        <v>41 to 50</v>
      </c>
      <c r="G694" t="s">
        <v>50</v>
      </c>
      <c r="H694" t="s">
        <v>51</v>
      </c>
      <c r="I694" t="s">
        <v>39</v>
      </c>
      <c r="J694">
        <v>28</v>
      </c>
      <c r="K694" t="str">
        <f t="shared" si="31"/>
        <v>21 to 30</v>
      </c>
      <c r="L694" s="1">
        <v>30</v>
      </c>
      <c r="M694" t="s">
        <v>2069</v>
      </c>
      <c r="O694">
        <v>4.2</v>
      </c>
      <c r="P694" t="b">
        <v>1</v>
      </c>
      <c r="Q694" t="s">
        <v>2076</v>
      </c>
      <c r="T694" s="2" t="str">
        <f t="shared" si="32"/>
        <v/>
      </c>
    </row>
    <row r="695" spans="1:21" x14ac:dyDescent="0.3">
      <c r="A695" t="s">
        <v>1450</v>
      </c>
      <c r="B695" t="s">
        <v>1451</v>
      </c>
      <c r="C695" t="s">
        <v>36</v>
      </c>
      <c r="D695" t="s">
        <v>20</v>
      </c>
      <c r="E695">
        <v>36</v>
      </c>
      <c r="F695" t="str">
        <f t="shared" si="30"/>
        <v>31 to 40</v>
      </c>
      <c r="G695" t="s">
        <v>254</v>
      </c>
      <c r="H695" t="s">
        <v>255</v>
      </c>
      <c r="I695" t="s">
        <v>47</v>
      </c>
      <c r="J695">
        <v>14</v>
      </c>
      <c r="K695" t="str">
        <f t="shared" si="31"/>
        <v>11 to 20</v>
      </c>
      <c r="L695" s="1">
        <v>100</v>
      </c>
      <c r="M695" t="s">
        <v>2065</v>
      </c>
      <c r="N695" t="s">
        <v>2070</v>
      </c>
      <c r="O695">
        <v>3.7</v>
      </c>
      <c r="P695">
        <v>0</v>
      </c>
      <c r="Q695" t="s">
        <v>2077</v>
      </c>
      <c r="T695" s="2" t="str">
        <f t="shared" si="32"/>
        <v/>
      </c>
    </row>
    <row r="696" spans="1:21" x14ac:dyDescent="0.3">
      <c r="A696" t="s">
        <v>1452</v>
      </c>
      <c r="B696" t="s">
        <v>1453</v>
      </c>
      <c r="C696" t="s">
        <v>36</v>
      </c>
      <c r="D696" t="s">
        <v>20</v>
      </c>
      <c r="E696">
        <v>42</v>
      </c>
      <c r="F696" t="str">
        <f t="shared" si="30"/>
        <v>41 to 50</v>
      </c>
      <c r="G696" t="s">
        <v>104</v>
      </c>
      <c r="H696" t="s">
        <v>105</v>
      </c>
      <c r="I696" t="s">
        <v>79</v>
      </c>
      <c r="J696">
        <v>10</v>
      </c>
      <c r="K696" t="str">
        <f t="shared" si="31"/>
        <v>0 to 10</v>
      </c>
      <c r="L696" s="1">
        <v>20</v>
      </c>
      <c r="M696" t="s">
        <v>2068</v>
      </c>
      <c r="N696" t="s">
        <v>2072</v>
      </c>
      <c r="O696">
        <v>2.4</v>
      </c>
      <c r="P696" t="s">
        <v>96</v>
      </c>
      <c r="Q696" t="s">
        <v>2076</v>
      </c>
      <c r="R696">
        <v>0.92</v>
      </c>
      <c r="S696" s="2">
        <v>0.92</v>
      </c>
      <c r="T696" s="2" t="str">
        <f t="shared" si="32"/>
        <v>91% to 100%</v>
      </c>
    </row>
    <row r="697" spans="1:21" x14ac:dyDescent="0.3">
      <c r="A697" t="s">
        <v>1454</v>
      </c>
      <c r="B697" t="s">
        <v>1455</v>
      </c>
      <c r="C697" t="s">
        <v>15</v>
      </c>
      <c r="D697" t="s">
        <v>20</v>
      </c>
      <c r="E697">
        <v>23</v>
      </c>
      <c r="F697" t="str">
        <f t="shared" si="30"/>
        <v>21 to 30</v>
      </c>
      <c r="G697" t="s">
        <v>104</v>
      </c>
      <c r="H697" t="s">
        <v>105</v>
      </c>
      <c r="I697" t="s">
        <v>66</v>
      </c>
      <c r="J697">
        <v>1</v>
      </c>
      <c r="K697" t="str">
        <f t="shared" si="31"/>
        <v>0 to 10</v>
      </c>
      <c r="L697" s="1">
        <v>40</v>
      </c>
      <c r="M697" t="s">
        <v>2065</v>
      </c>
      <c r="N697" t="s">
        <v>2067</v>
      </c>
      <c r="O697">
        <v>4.9000000000000004</v>
      </c>
      <c r="P697" t="s">
        <v>19</v>
      </c>
      <c r="Q697" t="s">
        <v>2076</v>
      </c>
      <c r="R697">
        <v>0.78</v>
      </c>
      <c r="S697" s="2">
        <v>0.78</v>
      </c>
      <c r="T697" s="2" t="str">
        <f t="shared" si="32"/>
        <v>71% to 80%</v>
      </c>
    </row>
    <row r="698" spans="1:21" x14ac:dyDescent="0.3">
      <c r="A698" t="s">
        <v>1456</v>
      </c>
      <c r="B698" t="s">
        <v>1457</v>
      </c>
      <c r="C698" t="s">
        <v>15</v>
      </c>
      <c r="D698" t="s">
        <v>20</v>
      </c>
      <c r="F698" t="str">
        <f t="shared" si="30"/>
        <v/>
      </c>
      <c r="G698" t="s">
        <v>42</v>
      </c>
      <c r="H698" t="s">
        <v>43</v>
      </c>
      <c r="I698" t="s">
        <v>108</v>
      </c>
      <c r="J698">
        <v>9</v>
      </c>
      <c r="K698" t="str">
        <f t="shared" si="31"/>
        <v>0 to 10</v>
      </c>
      <c r="L698" s="1">
        <v>40</v>
      </c>
      <c r="M698" t="s">
        <v>2067</v>
      </c>
      <c r="O698">
        <v>2.4</v>
      </c>
      <c r="P698" t="s">
        <v>19</v>
      </c>
      <c r="Q698" t="s">
        <v>2076</v>
      </c>
      <c r="R698">
        <v>82</v>
      </c>
      <c r="S698" s="2">
        <v>0.82</v>
      </c>
      <c r="T698" s="2" t="str">
        <f t="shared" si="32"/>
        <v>81% to 90%</v>
      </c>
      <c r="U698">
        <v>0.82</v>
      </c>
    </row>
    <row r="699" spans="1:21" x14ac:dyDescent="0.3">
      <c r="A699" t="s">
        <v>1458</v>
      </c>
      <c r="B699" t="s">
        <v>1459</v>
      </c>
      <c r="C699" t="s">
        <v>15</v>
      </c>
      <c r="D699" t="s">
        <v>20</v>
      </c>
      <c r="E699">
        <v>47</v>
      </c>
      <c r="F699" t="str">
        <f t="shared" si="30"/>
        <v>41 to 50</v>
      </c>
      <c r="G699" t="s">
        <v>188</v>
      </c>
      <c r="H699" t="s">
        <v>189</v>
      </c>
      <c r="I699" t="s">
        <v>108</v>
      </c>
      <c r="J699">
        <v>14</v>
      </c>
      <c r="K699" t="str">
        <f t="shared" si="31"/>
        <v>11 to 20</v>
      </c>
      <c r="L699" s="1">
        <v>30</v>
      </c>
      <c r="M699" t="s">
        <v>2065</v>
      </c>
      <c r="N699" t="s">
        <v>2069</v>
      </c>
      <c r="O699">
        <v>0</v>
      </c>
      <c r="P699" t="b">
        <v>1</v>
      </c>
      <c r="Q699" t="s">
        <v>2076</v>
      </c>
      <c r="R699">
        <v>0.86</v>
      </c>
      <c r="S699" s="2">
        <v>0.86</v>
      </c>
      <c r="T699" s="2" t="str">
        <f t="shared" si="32"/>
        <v>81% to 90%</v>
      </c>
    </row>
    <row r="700" spans="1:21" x14ac:dyDescent="0.3">
      <c r="A700" t="s">
        <v>1460</v>
      </c>
      <c r="B700" t="s">
        <v>1461</v>
      </c>
      <c r="C700" t="s">
        <v>36</v>
      </c>
      <c r="D700" t="s">
        <v>20</v>
      </c>
      <c r="E700">
        <v>56</v>
      </c>
      <c r="F700" t="str">
        <f t="shared" si="30"/>
        <v>51 to 60</v>
      </c>
      <c r="G700" t="s">
        <v>188</v>
      </c>
      <c r="H700" t="s">
        <v>189</v>
      </c>
      <c r="I700" t="s">
        <v>47</v>
      </c>
      <c r="J700">
        <v>30</v>
      </c>
      <c r="K700" t="str">
        <f t="shared" si="31"/>
        <v>21 to 30</v>
      </c>
      <c r="L700" s="1">
        <v>40</v>
      </c>
      <c r="M700" t="s">
        <v>2067</v>
      </c>
      <c r="O700">
        <v>3.3</v>
      </c>
      <c r="P700" t="s">
        <v>19</v>
      </c>
      <c r="Q700" t="s">
        <v>2076</v>
      </c>
      <c r="R700">
        <v>0.82</v>
      </c>
      <c r="S700" s="2">
        <v>0.82</v>
      </c>
      <c r="T700" s="2" t="str">
        <f t="shared" si="32"/>
        <v>81% to 90%</v>
      </c>
    </row>
    <row r="701" spans="1:21" x14ac:dyDescent="0.3">
      <c r="A701" t="s">
        <v>1462</v>
      </c>
      <c r="B701" t="s">
        <v>1463</v>
      </c>
      <c r="C701" t="s">
        <v>15</v>
      </c>
      <c r="D701" t="s">
        <v>20</v>
      </c>
      <c r="E701">
        <v>51</v>
      </c>
      <c r="F701" t="str">
        <f t="shared" si="30"/>
        <v>51 to 60</v>
      </c>
      <c r="G701" t="s">
        <v>77</v>
      </c>
      <c r="H701" t="s">
        <v>78</v>
      </c>
      <c r="I701" t="s">
        <v>79</v>
      </c>
      <c r="J701">
        <v>5</v>
      </c>
      <c r="K701" t="str">
        <f t="shared" si="31"/>
        <v>0 to 10</v>
      </c>
      <c r="L701" s="1">
        <v>50</v>
      </c>
      <c r="M701" t="s">
        <v>2071</v>
      </c>
      <c r="O701">
        <v>4.2</v>
      </c>
      <c r="P701">
        <v>1</v>
      </c>
      <c r="Q701" t="s">
        <v>2076</v>
      </c>
      <c r="R701">
        <v>0.82</v>
      </c>
      <c r="S701" s="2">
        <v>0.82</v>
      </c>
      <c r="T701" s="2" t="str">
        <f t="shared" si="32"/>
        <v>81% to 90%</v>
      </c>
    </row>
    <row r="702" spans="1:21" x14ac:dyDescent="0.3">
      <c r="A702" t="s">
        <v>1464</v>
      </c>
      <c r="B702" t="s">
        <v>1465</v>
      </c>
      <c r="C702" t="s">
        <v>36</v>
      </c>
      <c r="D702" t="s">
        <v>20</v>
      </c>
      <c r="E702">
        <v>32</v>
      </c>
      <c r="F702" t="str">
        <f t="shared" si="30"/>
        <v>31 to 40</v>
      </c>
      <c r="G702" t="s">
        <v>101</v>
      </c>
      <c r="H702" t="s">
        <v>59</v>
      </c>
      <c r="I702" t="s">
        <v>66</v>
      </c>
      <c r="J702">
        <v>1</v>
      </c>
      <c r="K702" t="str">
        <f t="shared" si="31"/>
        <v>0 to 10</v>
      </c>
      <c r="L702" s="1">
        <v>100</v>
      </c>
      <c r="M702" t="s">
        <v>2070</v>
      </c>
      <c r="O702">
        <v>3.4</v>
      </c>
      <c r="P702" t="b">
        <v>1</v>
      </c>
      <c r="Q702" t="s">
        <v>2076</v>
      </c>
      <c r="T702" s="2" t="str">
        <f t="shared" si="32"/>
        <v/>
      </c>
    </row>
    <row r="703" spans="1:21" x14ac:dyDescent="0.3">
      <c r="A703" t="s">
        <v>1466</v>
      </c>
      <c r="B703" t="s">
        <v>1467</v>
      </c>
      <c r="C703" t="s">
        <v>15</v>
      </c>
      <c r="D703" t="s">
        <v>20</v>
      </c>
      <c r="E703">
        <v>60</v>
      </c>
      <c r="F703" t="str">
        <f t="shared" si="30"/>
        <v>51 to 60</v>
      </c>
      <c r="G703" t="s">
        <v>91</v>
      </c>
      <c r="H703" t="s">
        <v>59</v>
      </c>
      <c r="I703" t="s">
        <v>18</v>
      </c>
      <c r="J703">
        <v>7</v>
      </c>
      <c r="K703" t="str">
        <f t="shared" si="31"/>
        <v>0 to 10</v>
      </c>
      <c r="L703" s="1">
        <v>30</v>
      </c>
      <c r="M703" t="s">
        <v>2068</v>
      </c>
      <c r="N703" t="s">
        <v>2069</v>
      </c>
      <c r="O703">
        <v>0</v>
      </c>
      <c r="P703" t="s">
        <v>67</v>
      </c>
      <c r="Q703" t="s">
        <v>2077</v>
      </c>
      <c r="R703">
        <v>0.97</v>
      </c>
      <c r="S703" s="2">
        <v>0.97</v>
      </c>
      <c r="T703" s="2" t="str">
        <f t="shared" si="32"/>
        <v>91% to 100%</v>
      </c>
    </row>
    <row r="704" spans="1:21" x14ac:dyDescent="0.3">
      <c r="A704" t="s">
        <v>1468</v>
      </c>
      <c r="B704" t="s">
        <v>1469</v>
      </c>
      <c r="C704" t="s">
        <v>15</v>
      </c>
      <c r="D704" t="s">
        <v>20</v>
      </c>
      <c r="E704">
        <v>45</v>
      </c>
      <c r="F704" t="str">
        <f t="shared" si="30"/>
        <v>41 to 50</v>
      </c>
      <c r="G704" t="s">
        <v>27</v>
      </c>
      <c r="H704" t="s">
        <v>28</v>
      </c>
      <c r="I704" t="s">
        <v>66</v>
      </c>
      <c r="J704">
        <v>3</v>
      </c>
      <c r="K704" t="str">
        <f t="shared" si="31"/>
        <v>0 to 10</v>
      </c>
      <c r="L704" s="1">
        <v>20</v>
      </c>
      <c r="M704" t="s">
        <v>2068</v>
      </c>
      <c r="N704" t="s">
        <v>2072</v>
      </c>
      <c r="O704">
        <v>1.3</v>
      </c>
      <c r="P704" t="s">
        <v>96</v>
      </c>
      <c r="Q704" t="s">
        <v>2076</v>
      </c>
      <c r="R704">
        <v>0.91</v>
      </c>
      <c r="S704" s="2">
        <v>0.91</v>
      </c>
      <c r="T704" s="2" t="str">
        <f t="shared" si="32"/>
        <v>91% to 100%</v>
      </c>
    </row>
    <row r="705" spans="1:21" x14ac:dyDescent="0.3">
      <c r="A705" t="s">
        <v>1470</v>
      </c>
      <c r="B705" t="s">
        <v>1471</v>
      </c>
      <c r="C705" t="s">
        <v>15</v>
      </c>
      <c r="D705" t="s">
        <v>20</v>
      </c>
      <c r="E705">
        <v>20</v>
      </c>
      <c r="F705" t="str">
        <f t="shared" si="30"/>
        <v>11 to 20</v>
      </c>
      <c r="G705" t="s">
        <v>158</v>
      </c>
      <c r="H705" t="s">
        <v>159</v>
      </c>
      <c r="I705" t="s">
        <v>33</v>
      </c>
      <c r="J705">
        <v>2</v>
      </c>
      <c r="K705" t="str">
        <f t="shared" si="31"/>
        <v>0 to 10</v>
      </c>
      <c r="L705" s="1">
        <v>40</v>
      </c>
      <c r="M705" t="s">
        <v>2065</v>
      </c>
      <c r="N705" t="s">
        <v>2067</v>
      </c>
      <c r="O705">
        <v>2.1</v>
      </c>
      <c r="P705" t="s">
        <v>53</v>
      </c>
      <c r="Q705" t="s">
        <v>2077</v>
      </c>
      <c r="R705">
        <v>0.64</v>
      </c>
      <c r="S705" s="2">
        <v>0.64</v>
      </c>
      <c r="T705" s="2" t="str">
        <f t="shared" si="32"/>
        <v>61% to 70 %</v>
      </c>
    </row>
    <row r="706" spans="1:21" x14ac:dyDescent="0.3">
      <c r="A706" t="s">
        <v>1472</v>
      </c>
      <c r="B706" t="s">
        <v>1473</v>
      </c>
      <c r="C706" t="s">
        <v>36</v>
      </c>
      <c r="D706" t="s">
        <v>20</v>
      </c>
      <c r="E706">
        <v>36</v>
      </c>
      <c r="F706" t="str">
        <f t="shared" ref="F706:F769" si="33">IF(OR($E706="",NOT(ISNUMBER($E706))),"",
 IF($E706&lt;=20,"11 to 20",
 IF($E706&lt;=30,"21 to 30",
 IF($E706&lt;=40,"31 to 40",
 IF($E706&lt;=50,"41 to 50",
 IF($E706&lt;=60,"51 to 60"))))))</f>
        <v>31 to 40</v>
      </c>
      <c r="G706" t="s">
        <v>83</v>
      </c>
      <c r="H706" t="s">
        <v>84</v>
      </c>
      <c r="I706" t="s">
        <v>79</v>
      </c>
      <c r="J706">
        <v>3</v>
      </c>
      <c r="K706" t="str">
        <f t="shared" ref="K706:K769" si="34">IF(OR($J706="",NOT(ISNUMBER($J706))),"",
 IF($J706&lt;=10,"0 to 10",
 IF($J706&lt;=20,"11 to 20",
 IF($J706&lt;=30,"21 to 30",
 IF($J706&lt;=40,"31 to 40",
 "40+")))))</f>
        <v>0 to 10</v>
      </c>
      <c r="L706" s="1">
        <v>50</v>
      </c>
      <c r="M706" t="s">
        <v>2068</v>
      </c>
      <c r="N706" t="s">
        <v>2071</v>
      </c>
      <c r="O706">
        <v>1.3</v>
      </c>
      <c r="P706">
        <v>1</v>
      </c>
      <c r="Q706" t="s">
        <v>2076</v>
      </c>
      <c r="R706">
        <v>0.77</v>
      </c>
      <c r="S706" s="2">
        <v>0.77</v>
      </c>
      <c r="T706" s="2" t="str">
        <f t="shared" ref="T706:T769" si="35">IF(OR($S706="",NOT(ISNUMBER($S706))),"",
 IF($S706&lt;=0.6,"50% to 60%",
 IF($S706&lt;=0.7,"61% to 70 %",
 IF($S706&lt;=0.8,"71% to 80%",
 IF($S706&lt;=0.9,"81% to 90%",
 IF($S706&lt;=1,"91% to 100%"))))))</f>
        <v>71% to 80%</v>
      </c>
    </row>
    <row r="707" spans="1:21" x14ac:dyDescent="0.3">
      <c r="A707" t="s">
        <v>1474</v>
      </c>
      <c r="B707" t="s">
        <v>1475</v>
      </c>
      <c r="C707" t="s">
        <v>36</v>
      </c>
      <c r="D707" t="s">
        <v>20</v>
      </c>
      <c r="E707">
        <v>32</v>
      </c>
      <c r="F707" t="str">
        <f t="shared" si="33"/>
        <v>31 to 40</v>
      </c>
      <c r="G707" t="s">
        <v>155</v>
      </c>
      <c r="H707" t="s">
        <v>17</v>
      </c>
      <c r="I707" t="s">
        <v>66</v>
      </c>
      <c r="J707">
        <v>1</v>
      </c>
      <c r="K707" t="str">
        <f t="shared" si="34"/>
        <v>0 to 10</v>
      </c>
      <c r="L707" s="1">
        <v>50</v>
      </c>
      <c r="M707" t="s">
        <v>2065</v>
      </c>
      <c r="N707" t="s">
        <v>2071</v>
      </c>
      <c r="P707" t="s">
        <v>19</v>
      </c>
      <c r="Q707" t="s">
        <v>2076</v>
      </c>
      <c r="R707">
        <v>0.7</v>
      </c>
      <c r="S707" s="2">
        <v>0.7</v>
      </c>
      <c r="T707" s="2" t="str">
        <f t="shared" si="35"/>
        <v>61% to 70 %</v>
      </c>
    </row>
    <row r="708" spans="1:21" x14ac:dyDescent="0.3">
      <c r="A708" t="s">
        <v>1476</v>
      </c>
      <c r="B708" t="s">
        <v>1477</v>
      </c>
      <c r="C708" t="s">
        <v>15</v>
      </c>
      <c r="D708" t="s">
        <v>20</v>
      </c>
      <c r="E708">
        <v>31</v>
      </c>
      <c r="F708" t="str">
        <f t="shared" si="33"/>
        <v>31 to 40</v>
      </c>
      <c r="G708" t="s">
        <v>188</v>
      </c>
      <c r="H708" t="s">
        <v>189</v>
      </c>
      <c r="I708" t="s">
        <v>66</v>
      </c>
      <c r="J708">
        <v>0</v>
      </c>
      <c r="K708" t="str">
        <f t="shared" si="34"/>
        <v>0 to 10</v>
      </c>
      <c r="L708" s="1">
        <v>50</v>
      </c>
      <c r="M708" t="s">
        <v>2071</v>
      </c>
      <c r="O708">
        <v>1.1000000000000001</v>
      </c>
      <c r="P708" t="s">
        <v>96</v>
      </c>
      <c r="Q708" t="s">
        <v>2076</v>
      </c>
      <c r="R708">
        <v>0.73</v>
      </c>
      <c r="S708" s="2">
        <v>0.73</v>
      </c>
      <c r="T708" s="2" t="str">
        <f t="shared" si="35"/>
        <v>71% to 80%</v>
      </c>
    </row>
    <row r="709" spans="1:21" x14ac:dyDescent="0.3">
      <c r="A709" t="s">
        <v>1478</v>
      </c>
      <c r="B709" t="s">
        <v>1479</v>
      </c>
      <c r="C709" t="s">
        <v>15</v>
      </c>
      <c r="D709" t="s">
        <v>20</v>
      </c>
      <c r="E709">
        <v>35</v>
      </c>
      <c r="F709" t="str">
        <f t="shared" si="33"/>
        <v>31 to 40</v>
      </c>
      <c r="G709" t="s">
        <v>42</v>
      </c>
      <c r="H709" t="s">
        <v>43</v>
      </c>
      <c r="I709" t="s">
        <v>39</v>
      </c>
      <c r="J709">
        <v>5</v>
      </c>
      <c r="K709" t="str">
        <f t="shared" si="34"/>
        <v>0 to 10</v>
      </c>
      <c r="L709" s="1">
        <v>75</v>
      </c>
      <c r="M709" t="s">
        <v>2065</v>
      </c>
      <c r="N709" t="s">
        <v>2066</v>
      </c>
      <c r="O709">
        <v>3.2</v>
      </c>
      <c r="P709" t="b">
        <v>0</v>
      </c>
      <c r="Q709" t="s">
        <v>2077</v>
      </c>
      <c r="R709">
        <v>0.72</v>
      </c>
      <c r="S709" s="2">
        <v>0.72</v>
      </c>
      <c r="T709" s="2" t="str">
        <f t="shared" si="35"/>
        <v>71% to 80%</v>
      </c>
    </row>
    <row r="710" spans="1:21" x14ac:dyDescent="0.3">
      <c r="A710" t="s">
        <v>1480</v>
      </c>
      <c r="B710" t="s">
        <v>1481</v>
      </c>
      <c r="C710" t="s">
        <v>15</v>
      </c>
      <c r="D710" t="s">
        <v>20</v>
      </c>
      <c r="E710">
        <v>32</v>
      </c>
      <c r="F710" t="str">
        <f t="shared" si="33"/>
        <v>31 to 40</v>
      </c>
      <c r="G710" t="s">
        <v>27</v>
      </c>
      <c r="H710" t="s">
        <v>28</v>
      </c>
      <c r="I710" t="s">
        <v>79</v>
      </c>
      <c r="J710">
        <v>0</v>
      </c>
      <c r="K710" t="str">
        <f t="shared" si="34"/>
        <v>0 to 10</v>
      </c>
      <c r="L710" s="1">
        <v>100</v>
      </c>
      <c r="M710" t="s">
        <v>2070</v>
      </c>
      <c r="O710">
        <v>1.4</v>
      </c>
      <c r="P710">
        <v>1</v>
      </c>
      <c r="Q710" t="s">
        <v>2076</v>
      </c>
      <c r="R710">
        <v>0.81</v>
      </c>
      <c r="S710" s="2">
        <v>0.81</v>
      </c>
      <c r="T710" s="2" t="str">
        <f t="shared" si="35"/>
        <v>81% to 90%</v>
      </c>
    </row>
    <row r="711" spans="1:21" x14ac:dyDescent="0.3">
      <c r="A711" t="s">
        <v>1482</v>
      </c>
      <c r="B711" t="s">
        <v>1483</v>
      </c>
      <c r="C711" t="s">
        <v>15</v>
      </c>
      <c r="D711" t="s">
        <v>20</v>
      </c>
      <c r="F711" t="str">
        <f t="shared" si="33"/>
        <v/>
      </c>
      <c r="G711" t="s">
        <v>27</v>
      </c>
      <c r="H711" t="s">
        <v>28</v>
      </c>
      <c r="I711" t="s">
        <v>18</v>
      </c>
      <c r="J711">
        <v>8</v>
      </c>
      <c r="K711" t="str">
        <f t="shared" si="34"/>
        <v>0 to 10</v>
      </c>
      <c r="L711" s="1">
        <v>40</v>
      </c>
      <c r="M711" t="s">
        <v>2065</v>
      </c>
      <c r="N711" t="s">
        <v>2067</v>
      </c>
      <c r="O711">
        <v>0</v>
      </c>
      <c r="P711" t="s">
        <v>53</v>
      </c>
      <c r="Q711" t="s">
        <v>2077</v>
      </c>
      <c r="R711">
        <v>0.64</v>
      </c>
      <c r="S711" s="2">
        <v>0.64</v>
      </c>
      <c r="T711" s="2" t="str">
        <f t="shared" si="35"/>
        <v>61% to 70 %</v>
      </c>
    </row>
    <row r="712" spans="1:21" x14ac:dyDescent="0.3">
      <c r="A712" t="s">
        <v>1484</v>
      </c>
      <c r="B712" t="s">
        <v>1485</v>
      </c>
      <c r="C712" t="s">
        <v>36</v>
      </c>
      <c r="D712" t="s">
        <v>20</v>
      </c>
      <c r="E712">
        <v>23</v>
      </c>
      <c r="F712" t="str">
        <f t="shared" si="33"/>
        <v>21 to 30</v>
      </c>
      <c r="G712" t="s">
        <v>42</v>
      </c>
      <c r="H712" t="s">
        <v>43</v>
      </c>
      <c r="I712" t="s">
        <v>18</v>
      </c>
      <c r="J712">
        <v>1</v>
      </c>
      <c r="K712" t="str">
        <f t="shared" si="34"/>
        <v>0 to 10</v>
      </c>
      <c r="L712" s="1">
        <v>40</v>
      </c>
      <c r="M712" t="s">
        <v>2067</v>
      </c>
      <c r="O712">
        <v>0</v>
      </c>
      <c r="P712">
        <v>0</v>
      </c>
      <c r="Q712" t="s">
        <v>2077</v>
      </c>
      <c r="R712">
        <v>0.64</v>
      </c>
      <c r="S712" s="2">
        <v>0.64</v>
      </c>
      <c r="T712" s="2" t="str">
        <f t="shared" si="35"/>
        <v>61% to 70 %</v>
      </c>
    </row>
    <row r="713" spans="1:21" x14ac:dyDescent="0.3">
      <c r="A713" t="s">
        <v>1486</v>
      </c>
      <c r="B713" t="s">
        <v>1487</v>
      </c>
      <c r="C713" t="s">
        <v>15</v>
      </c>
      <c r="D713" t="s">
        <v>20</v>
      </c>
      <c r="E713">
        <v>20</v>
      </c>
      <c r="F713" t="str">
        <f t="shared" si="33"/>
        <v>11 to 20</v>
      </c>
      <c r="G713" t="s">
        <v>46</v>
      </c>
      <c r="H713" t="s">
        <v>17</v>
      </c>
      <c r="I713" t="s">
        <v>47</v>
      </c>
      <c r="J713">
        <v>2</v>
      </c>
      <c r="K713" t="str">
        <f t="shared" si="34"/>
        <v>0 to 10</v>
      </c>
      <c r="L713" s="1">
        <v>20</v>
      </c>
      <c r="M713" t="s">
        <v>2072</v>
      </c>
      <c r="O713">
        <v>3.9</v>
      </c>
      <c r="P713" t="b">
        <v>0</v>
      </c>
      <c r="Q713" t="s">
        <v>2077</v>
      </c>
      <c r="R713">
        <v>0.84</v>
      </c>
      <c r="S713" s="2">
        <v>0.84</v>
      </c>
      <c r="T713" s="2" t="str">
        <f t="shared" si="35"/>
        <v>81% to 90%</v>
      </c>
    </row>
    <row r="714" spans="1:21" x14ac:dyDescent="0.3">
      <c r="A714" t="s">
        <v>1488</v>
      </c>
      <c r="B714" t="s">
        <v>1489</v>
      </c>
      <c r="C714" t="s">
        <v>36</v>
      </c>
      <c r="D714" t="s">
        <v>20</v>
      </c>
      <c r="E714">
        <v>20</v>
      </c>
      <c r="F714" t="str">
        <f t="shared" si="33"/>
        <v>11 to 20</v>
      </c>
      <c r="G714" t="s">
        <v>83</v>
      </c>
      <c r="H714" t="s">
        <v>84</v>
      </c>
      <c r="I714" t="s">
        <v>33</v>
      </c>
      <c r="J714">
        <v>1</v>
      </c>
      <c r="K714" t="str">
        <f t="shared" si="34"/>
        <v>0 to 10</v>
      </c>
      <c r="L714" s="1">
        <v>50</v>
      </c>
      <c r="M714" t="s">
        <v>2071</v>
      </c>
      <c r="O714">
        <v>3.1</v>
      </c>
      <c r="R714">
        <v>0.71</v>
      </c>
      <c r="S714" s="2">
        <v>0.71</v>
      </c>
      <c r="T714" s="2" t="str">
        <f t="shared" si="35"/>
        <v>71% to 80%</v>
      </c>
    </row>
    <row r="715" spans="1:21" x14ac:dyDescent="0.3">
      <c r="A715" t="s">
        <v>1490</v>
      </c>
      <c r="B715" t="s">
        <v>1491</v>
      </c>
      <c r="C715" t="s">
        <v>15</v>
      </c>
      <c r="D715" t="s">
        <v>20</v>
      </c>
      <c r="E715">
        <v>38</v>
      </c>
      <c r="F715" t="str">
        <f t="shared" si="33"/>
        <v>31 to 40</v>
      </c>
      <c r="G715" t="s">
        <v>77</v>
      </c>
      <c r="H715" t="s">
        <v>78</v>
      </c>
      <c r="I715" t="s">
        <v>39</v>
      </c>
      <c r="J715">
        <v>3</v>
      </c>
      <c r="K715" t="str">
        <f t="shared" si="34"/>
        <v>0 to 10</v>
      </c>
      <c r="L715" s="1">
        <v>30</v>
      </c>
      <c r="M715" t="s">
        <v>2069</v>
      </c>
      <c r="O715">
        <v>3.5</v>
      </c>
      <c r="P715" t="s">
        <v>67</v>
      </c>
      <c r="Q715" t="s">
        <v>2077</v>
      </c>
      <c r="R715">
        <v>0.97</v>
      </c>
      <c r="S715" s="2">
        <v>0.97</v>
      </c>
      <c r="T715" s="2" t="str">
        <f t="shared" si="35"/>
        <v>91% to 100%</v>
      </c>
    </row>
    <row r="716" spans="1:21" x14ac:dyDescent="0.3">
      <c r="A716" t="s">
        <v>1492</v>
      </c>
      <c r="B716" t="s">
        <v>1493</v>
      </c>
      <c r="C716" t="s">
        <v>111</v>
      </c>
      <c r="D716" t="s">
        <v>80</v>
      </c>
      <c r="E716">
        <v>49</v>
      </c>
      <c r="F716" t="str">
        <f t="shared" si="33"/>
        <v>41 to 50</v>
      </c>
      <c r="G716" t="s">
        <v>104</v>
      </c>
      <c r="H716" t="s">
        <v>105</v>
      </c>
      <c r="I716" t="s">
        <v>108</v>
      </c>
      <c r="J716">
        <v>2</v>
      </c>
      <c r="K716" t="str">
        <f t="shared" si="34"/>
        <v>0 to 10</v>
      </c>
      <c r="L716" s="1">
        <v>100</v>
      </c>
      <c r="M716" t="s">
        <v>2065</v>
      </c>
      <c r="N716" t="s">
        <v>2070</v>
      </c>
      <c r="O716">
        <v>3.4</v>
      </c>
      <c r="P716">
        <v>1</v>
      </c>
      <c r="Q716" t="s">
        <v>2076</v>
      </c>
      <c r="R716">
        <v>0.85</v>
      </c>
      <c r="S716" s="2">
        <v>0.85</v>
      </c>
      <c r="T716" s="2" t="str">
        <f t="shared" si="35"/>
        <v>81% to 90%</v>
      </c>
    </row>
    <row r="717" spans="1:21" x14ac:dyDescent="0.3">
      <c r="A717" t="s">
        <v>1494</v>
      </c>
      <c r="B717" t="s">
        <v>1495</v>
      </c>
      <c r="C717" t="s">
        <v>111</v>
      </c>
      <c r="D717" t="s">
        <v>80</v>
      </c>
      <c r="E717">
        <v>41</v>
      </c>
      <c r="F717" t="str">
        <f t="shared" si="33"/>
        <v>41 to 50</v>
      </c>
      <c r="G717" t="s">
        <v>50</v>
      </c>
      <c r="H717" t="s">
        <v>51</v>
      </c>
      <c r="I717" t="s">
        <v>66</v>
      </c>
      <c r="J717">
        <v>2</v>
      </c>
      <c r="K717" t="str">
        <f t="shared" si="34"/>
        <v>0 to 10</v>
      </c>
      <c r="L717" s="1">
        <v>100</v>
      </c>
      <c r="M717" t="s">
        <v>2068</v>
      </c>
      <c r="N717" t="s">
        <v>2070</v>
      </c>
      <c r="O717">
        <v>4.5</v>
      </c>
      <c r="P717" t="s">
        <v>53</v>
      </c>
      <c r="Q717" t="s">
        <v>2077</v>
      </c>
      <c r="R717">
        <v>75</v>
      </c>
      <c r="S717" s="2">
        <v>0.75</v>
      </c>
      <c r="T717" s="2" t="str">
        <f t="shared" si="35"/>
        <v>71% to 80%</v>
      </c>
      <c r="U717">
        <v>0.75</v>
      </c>
    </row>
    <row r="718" spans="1:21" x14ac:dyDescent="0.3">
      <c r="A718" t="s">
        <v>1496</v>
      </c>
      <c r="B718" t="s">
        <v>1497</v>
      </c>
      <c r="C718" t="s">
        <v>76</v>
      </c>
      <c r="D718" t="s">
        <v>80</v>
      </c>
      <c r="E718">
        <v>42</v>
      </c>
      <c r="F718" t="str">
        <f t="shared" si="33"/>
        <v>41 to 50</v>
      </c>
      <c r="G718" t="s">
        <v>50</v>
      </c>
      <c r="H718" t="s">
        <v>51</v>
      </c>
      <c r="I718" t="s">
        <v>66</v>
      </c>
      <c r="J718">
        <v>24</v>
      </c>
      <c r="K718" t="str">
        <f t="shared" si="34"/>
        <v>21 to 30</v>
      </c>
      <c r="L718" s="1">
        <v>40</v>
      </c>
      <c r="M718" t="s">
        <v>2068</v>
      </c>
      <c r="N718" t="s">
        <v>2067</v>
      </c>
      <c r="P718" t="b">
        <v>0</v>
      </c>
      <c r="Q718" t="s">
        <v>2077</v>
      </c>
      <c r="R718">
        <v>0.88</v>
      </c>
      <c r="S718" s="2">
        <v>0.88</v>
      </c>
      <c r="T718" s="2" t="str">
        <f t="shared" si="35"/>
        <v>81% to 90%</v>
      </c>
    </row>
    <row r="719" spans="1:21" x14ac:dyDescent="0.3">
      <c r="A719" t="s">
        <v>1498</v>
      </c>
      <c r="B719" t="s">
        <v>1499</v>
      </c>
      <c r="C719" t="s">
        <v>111</v>
      </c>
      <c r="D719" t="s">
        <v>80</v>
      </c>
      <c r="E719">
        <v>31</v>
      </c>
      <c r="F719" t="str">
        <f t="shared" si="33"/>
        <v>31 to 40</v>
      </c>
      <c r="G719" t="s">
        <v>101</v>
      </c>
      <c r="H719" t="s">
        <v>59</v>
      </c>
      <c r="I719" t="s">
        <v>52</v>
      </c>
      <c r="J719">
        <v>0</v>
      </c>
      <c r="K719" t="str">
        <f t="shared" si="34"/>
        <v>0 to 10</v>
      </c>
      <c r="L719" s="1">
        <v>30</v>
      </c>
      <c r="M719" t="s">
        <v>2069</v>
      </c>
      <c r="O719">
        <v>2.2999999999999998</v>
      </c>
      <c r="P719" t="s">
        <v>67</v>
      </c>
      <c r="Q719" t="s">
        <v>2077</v>
      </c>
      <c r="R719">
        <v>0.79</v>
      </c>
      <c r="S719" s="2">
        <v>0.79</v>
      </c>
      <c r="T719" s="2" t="str">
        <f t="shared" si="35"/>
        <v>71% to 80%</v>
      </c>
    </row>
    <row r="720" spans="1:21" x14ac:dyDescent="0.3">
      <c r="A720" t="s">
        <v>1500</v>
      </c>
      <c r="B720" t="s">
        <v>1501</v>
      </c>
      <c r="C720" t="s">
        <v>76</v>
      </c>
      <c r="D720" t="s">
        <v>80</v>
      </c>
      <c r="E720">
        <v>39</v>
      </c>
      <c r="F720" t="str">
        <f t="shared" si="33"/>
        <v>31 to 40</v>
      </c>
      <c r="G720" t="s">
        <v>118</v>
      </c>
      <c r="H720" t="s">
        <v>119</v>
      </c>
      <c r="I720" t="s">
        <v>52</v>
      </c>
      <c r="J720">
        <v>18</v>
      </c>
      <c r="K720" t="str">
        <f t="shared" si="34"/>
        <v>11 to 20</v>
      </c>
      <c r="L720" s="1">
        <v>20</v>
      </c>
      <c r="M720" t="s">
        <v>2072</v>
      </c>
      <c r="O720">
        <v>2.5</v>
      </c>
      <c r="P720" t="s">
        <v>19</v>
      </c>
      <c r="Q720" t="s">
        <v>2076</v>
      </c>
      <c r="R720">
        <v>0.61</v>
      </c>
      <c r="S720" s="2">
        <v>0.61</v>
      </c>
      <c r="T720" s="2" t="str">
        <f t="shared" si="35"/>
        <v>61% to 70 %</v>
      </c>
    </row>
    <row r="721" spans="1:21" x14ac:dyDescent="0.3">
      <c r="A721" t="s">
        <v>1502</v>
      </c>
      <c r="B721" t="s">
        <v>1503</v>
      </c>
      <c r="C721" t="s">
        <v>76</v>
      </c>
      <c r="D721" t="s">
        <v>80</v>
      </c>
      <c r="E721">
        <v>55</v>
      </c>
      <c r="F721" t="str">
        <f t="shared" si="33"/>
        <v>51 to 60</v>
      </c>
      <c r="G721" t="s">
        <v>46</v>
      </c>
      <c r="H721" t="s">
        <v>17</v>
      </c>
      <c r="I721" t="s">
        <v>63</v>
      </c>
      <c r="J721">
        <v>15</v>
      </c>
      <c r="K721" t="str">
        <f t="shared" si="34"/>
        <v>11 to 20</v>
      </c>
      <c r="P721" t="s">
        <v>96</v>
      </c>
      <c r="Q721" t="s">
        <v>2076</v>
      </c>
      <c r="R721">
        <v>0.86</v>
      </c>
      <c r="S721" s="2">
        <v>0.86</v>
      </c>
      <c r="T721" s="2" t="str">
        <f t="shared" si="35"/>
        <v>81% to 90%</v>
      </c>
    </row>
    <row r="722" spans="1:21" x14ac:dyDescent="0.3">
      <c r="A722" t="s">
        <v>1504</v>
      </c>
      <c r="B722" t="s">
        <v>1505</v>
      </c>
      <c r="C722" t="s">
        <v>76</v>
      </c>
      <c r="D722" t="s">
        <v>80</v>
      </c>
      <c r="E722">
        <v>25</v>
      </c>
      <c r="F722" t="str">
        <f t="shared" si="33"/>
        <v>21 to 30</v>
      </c>
      <c r="G722" t="s">
        <v>118</v>
      </c>
      <c r="H722" t="s">
        <v>119</v>
      </c>
      <c r="I722" t="s">
        <v>47</v>
      </c>
      <c r="J722">
        <v>3</v>
      </c>
      <c r="K722" t="str">
        <f t="shared" si="34"/>
        <v>0 to 10</v>
      </c>
      <c r="L722" s="1">
        <v>50</v>
      </c>
      <c r="M722" t="s">
        <v>2065</v>
      </c>
      <c r="N722" t="s">
        <v>2071</v>
      </c>
      <c r="O722">
        <v>3.2</v>
      </c>
      <c r="P722" t="b">
        <v>1</v>
      </c>
      <c r="Q722" t="s">
        <v>2076</v>
      </c>
      <c r="R722">
        <v>0.74</v>
      </c>
      <c r="S722" s="2">
        <v>0.74</v>
      </c>
      <c r="T722" s="2" t="str">
        <f t="shared" si="35"/>
        <v>71% to 80%</v>
      </c>
    </row>
    <row r="723" spans="1:21" x14ac:dyDescent="0.3">
      <c r="A723" t="s">
        <v>1506</v>
      </c>
      <c r="B723" t="s">
        <v>1507</v>
      </c>
      <c r="C723" t="s">
        <v>111</v>
      </c>
      <c r="D723" t="s">
        <v>80</v>
      </c>
      <c r="E723">
        <v>21</v>
      </c>
      <c r="F723" t="str">
        <f t="shared" si="33"/>
        <v>21 to 30</v>
      </c>
      <c r="G723" t="s">
        <v>91</v>
      </c>
      <c r="H723" t="s">
        <v>59</v>
      </c>
      <c r="I723" t="s">
        <v>108</v>
      </c>
      <c r="J723">
        <v>0</v>
      </c>
      <c r="K723" t="str">
        <f t="shared" si="34"/>
        <v>0 to 10</v>
      </c>
      <c r="L723" s="1">
        <v>40</v>
      </c>
      <c r="M723" t="s">
        <v>2068</v>
      </c>
      <c r="N723" t="s">
        <v>2067</v>
      </c>
      <c r="O723">
        <v>1.1000000000000001</v>
      </c>
      <c r="P723">
        <v>0</v>
      </c>
      <c r="Q723" t="s">
        <v>2077</v>
      </c>
      <c r="R723">
        <v>0.79</v>
      </c>
      <c r="S723" s="2">
        <v>0.79</v>
      </c>
      <c r="T723" s="2" t="str">
        <f t="shared" si="35"/>
        <v>71% to 80%</v>
      </c>
    </row>
    <row r="724" spans="1:21" x14ac:dyDescent="0.3">
      <c r="A724" t="s">
        <v>1508</v>
      </c>
      <c r="B724" t="s">
        <v>1509</v>
      </c>
      <c r="C724" t="s">
        <v>76</v>
      </c>
      <c r="D724" t="s">
        <v>80</v>
      </c>
      <c r="E724">
        <v>35</v>
      </c>
      <c r="F724" t="str">
        <f t="shared" si="33"/>
        <v>31 to 40</v>
      </c>
      <c r="G724" t="s">
        <v>42</v>
      </c>
      <c r="H724" t="s">
        <v>43</v>
      </c>
      <c r="I724" t="s">
        <v>79</v>
      </c>
      <c r="J724">
        <v>16</v>
      </c>
      <c r="K724" t="str">
        <f t="shared" si="34"/>
        <v>11 to 20</v>
      </c>
      <c r="L724" s="1">
        <v>100</v>
      </c>
      <c r="M724" t="s">
        <v>2068</v>
      </c>
      <c r="N724" t="s">
        <v>2070</v>
      </c>
      <c r="O724">
        <v>4.3</v>
      </c>
      <c r="P724">
        <v>1</v>
      </c>
      <c r="Q724" t="s">
        <v>2076</v>
      </c>
      <c r="R724">
        <v>0.74</v>
      </c>
      <c r="S724" s="2">
        <v>0.74</v>
      </c>
      <c r="T724" s="2" t="str">
        <f t="shared" si="35"/>
        <v>71% to 80%</v>
      </c>
    </row>
    <row r="725" spans="1:21" x14ac:dyDescent="0.3">
      <c r="A725" t="s">
        <v>1510</v>
      </c>
      <c r="B725" t="s">
        <v>1511</v>
      </c>
      <c r="C725" t="s">
        <v>76</v>
      </c>
      <c r="D725" t="s">
        <v>80</v>
      </c>
      <c r="E725">
        <v>51</v>
      </c>
      <c r="F725" t="str">
        <f t="shared" si="33"/>
        <v>51 to 60</v>
      </c>
      <c r="G725" t="s">
        <v>104</v>
      </c>
      <c r="H725" t="s">
        <v>105</v>
      </c>
      <c r="I725" t="s">
        <v>47</v>
      </c>
      <c r="J725">
        <v>23</v>
      </c>
      <c r="K725" t="str">
        <f t="shared" si="34"/>
        <v>21 to 30</v>
      </c>
      <c r="L725" s="1">
        <v>20</v>
      </c>
      <c r="M725" t="s">
        <v>2072</v>
      </c>
      <c r="O725">
        <v>2.5</v>
      </c>
      <c r="P725" t="b">
        <v>0</v>
      </c>
      <c r="Q725" t="s">
        <v>2077</v>
      </c>
      <c r="R725">
        <v>0.8</v>
      </c>
      <c r="S725" s="2">
        <v>0.8</v>
      </c>
      <c r="T725" s="2" t="str">
        <f t="shared" si="35"/>
        <v>71% to 80%</v>
      </c>
    </row>
    <row r="726" spans="1:21" x14ac:dyDescent="0.3">
      <c r="A726" t="s">
        <v>1512</v>
      </c>
      <c r="B726" t="s">
        <v>1513</v>
      </c>
      <c r="C726" t="s">
        <v>76</v>
      </c>
      <c r="D726" t="s">
        <v>80</v>
      </c>
      <c r="E726">
        <v>21</v>
      </c>
      <c r="F726" t="str">
        <f t="shared" si="33"/>
        <v>21 to 30</v>
      </c>
      <c r="G726" t="s">
        <v>46</v>
      </c>
      <c r="H726" t="s">
        <v>17</v>
      </c>
      <c r="I726" t="s">
        <v>108</v>
      </c>
      <c r="J726">
        <v>2</v>
      </c>
      <c r="K726" t="str">
        <f t="shared" si="34"/>
        <v>0 to 10</v>
      </c>
      <c r="L726" s="1">
        <v>100</v>
      </c>
      <c r="M726" t="s">
        <v>2070</v>
      </c>
      <c r="O726">
        <v>3.7</v>
      </c>
      <c r="P726" t="s">
        <v>19</v>
      </c>
      <c r="Q726" t="s">
        <v>2076</v>
      </c>
      <c r="R726">
        <v>73</v>
      </c>
      <c r="S726" s="2">
        <v>0.73</v>
      </c>
      <c r="T726" s="2" t="str">
        <f t="shared" si="35"/>
        <v>71% to 80%</v>
      </c>
      <c r="U726">
        <v>0.73</v>
      </c>
    </row>
    <row r="727" spans="1:21" x14ac:dyDescent="0.3">
      <c r="A727" t="s">
        <v>1514</v>
      </c>
      <c r="B727" t="s">
        <v>1515</v>
      </c>
      <c r="C727" t="s">
        <v>76</v>
      </c>
      <c r="D727" t="s">
        <v>80</v>
      </c>
      <c r="E727">
        <v>47</v>
      </c>
      <c r="F727" t="str">
        <f t="shared" si="33"/>
        <v>41 to 50</v>
      </c>
      <c r="G727" t="s">
        <v>31</v>
      </c>
      <c r="H727" t="s">
        <v>32</v>
      </c>
      <c r="I727" t="s">
        <v>63</v>
      </c>
      <c r="J727">
        <v>12</v>
      </c>
      <c r="K727" t="str">
        <f t="shared" si="34"/>
        <v>11 to 20</v>
      </c>
      <c r="L727" s="1">
        <v>40</v>
      </c>
      <c r="M727" t="s">
        <v>2067</v>
      </c>
      <c r="O727">
        <v>4.5</v>
      </c>
      <c r="P727" t="s">
        <v>67</v>
      </c>
      <c r="Q727" t="s">
        <v>2077</v>
      </c>
      <c r="R727">
        <v>0.62</v>
      </c>
      <c r="S727" s="2">
        <v>0.62</v>
      </c>
      <c r="T727" s="2" t="str">
        <f t="shared" si="35"/>
        <v>61% to 70 %</v>
      </c>
    </row>
    <row r="728" spans="1:21" x14ac:dyDescent="0.3">
      <c r="A728" t="s">
        <v>1516</v>
      </c>
      <c r="B728" t="s">
        <v>1517</v>
      </c>
      <c r="C728" t="s">
        <v>15</v>
      </c>
      <c r="D728" t="s">
        <v>20</v>
      </c>
      <c r="E728">
        <v>46</v>
      </c>
      <c r="F728" t="str">
        <f t="shared" si="33"/>
        <v>41 to 50</v>
      </c>
      <c r="G728" t="s">
        <v>23</v>
      </c>
      <c r="H728" t="s">
        <v>24</v>
      </c>
      <c r="I728" t="s">
        <v>47</v>
      </c>
      <c r="J728">
        <v>13</v>
      </c>
      <c r="K728" t="str">
        <f t="shared" si="34"/>
        <v>11 to 20</v>
      </c>
      <c r="L728" s="1">
        <v>100</v>
      </c>
      <c r="M728" t="s">
        <v>2065</v>
      </c>
      <c r="N728" t="s">
        <v>2070</v>
      </c>
      <c r="O728">
        <v>0</v>
      </c>
      <c r="P728" t="s">
        <v>96</v>
      </c>
      <c r="Q728" t="s">
        <v>2076</v>
      </c>
      <c r="R728">
        <v>0.97</v>
      </c>
      <c r="S728" s="2">
        <v>0.97</v>
      </c>
      <c r="T728" s="2" t="str">
        <f t="shared" si="35"/>
        <v>91% to 100%</v>
      </c>
    </row>
    <row r="729" spans="1:21" x14ac:dyDescent="0.3">
      <c r="A729" t="s">
        <v>1518</v>
      </c>
      <c r="B729" t="s">
        <v>1519</v>
      </c>
      <c r="C729" t="s">
        <v>111</v>
      </c>
      <c r="D729" t="s">
        <v>80</v>
      </c>
      <c r="E729">
        <v>43</v>
      </c>
      <c r="F729" t="str">
        <f t="shared" si="33"/>
        <v>41 to 50</v>
      </c>
      <c r="G729" t="s">
        <v>91</v>
      </c>
      <c r="H729" t="s">
        <v>59</v>
      </c>
      <c r="I729" t="s">
        <v>52</v>
      </c>
      <c r="J729">
        <v>1</v>
      </c>
      <c r="K729" t="str">
        <f t="shared" si="34"/>
        <v>0 to 10</v>
      </c>
      <c r="L729" s="1">
        <v>50</v>
      </c>
      <c r="M729" t="s">
        <v>2068</v>
      </c>
      <c r="N729" t="s">
        <v>2071</v>
      </c>
      <c r="O729">
        <v>4.5999999999999996</v>
      </c>
      <c r="P729" t="b">
        <v>1</v>
      </c>
      <c r="Q729" t="s">
        <v>2076</v>
      </c>
      <c r="R729">
        <v>64</v>
      </c>
      <c r="S729" s="2">
        <v>0.64</v>
      </c>
      <c r="T729" s="2" t="str">
        <f t="shared" si="35"/>
        <v>61% to 70 %</v>
      </c>
      <c r="U729">
        <v>0.64</v>
      </c>
    </row>
    <row r="730" spans="1:21" x14ac:dyDescent="0.3">
      <c r="A730" t="s">
        <v>1520</v>
      </c>
      <c r="B730" t="s">
        <v>1521</v>
      </c>
      <c r="C730" t="s">
        <v>15</v>
      </c>
      <c r="D730" t="s">
        <v>20</v>
      </c>
      <c r="E730">
        <v>44</v>
      </c>
      <c r="F730" t="str">
        <f t="shared" si="33"/>
        <v>41 to 50</v>
      </c>
      <c r="G730" t="s">
        <v>46</v>
      </c>
      <c r="H730" t="s">
        <v>17</v>
      </c>
      <c r="I730" t="s">
        <v>108</v>
      </c>
      <c r="J730">
        <v>4</v>
      </c>
      <c r="K730" t="str">
        <f t="shared" si="34"/>
        <v>0 to 10</v>
      </c>
      <c r="L730" s="1">
        <v>50</v>
      </c>
      <c r="M730" t="s">
        <v>2065</v>
      </c>
      <c r="N730" t="s">
        <v>2071</v>
      </c>
      <c r="O730">
        <v>0</v>
      </c>
      <c r="P730" t="b">
        <v>1</v>
      </c>
      <c r="Q730" t="s">
        <v>2076</v>
      </c>
      <c r="R730">
        <v>0.83</v>
      </c>
      <c r="S730" s="2">
        <v>0.83</v>
      </c>
      <c r="T730" s="2" t="str">
        <f t="shared" si="35"/>
        <v>81% to 90%</v>
      </c>
    </row>
    <row r="731" spans="1:21" x14ac:dyDescent="0.3">
      <c r="A731" t="s">
        <v>1522</v>
      </c>
      <c r="B731" t="s">
        <v>1523</v>
      </c>
      <c r="C731" t="s">
        <v>15</v>
      </c>
      <c r="D731" t="s">
        <v>20</v>
      </c>
      <c r="E731">
        <v>53</v>
      </c>
      <c r="F731" t="str">
        <f t="shared" si="33"/>
        <v>51 to 60</v>
      </c>
      <c r="G731" t="s">
        <v>155</v>
      </c>
      <c r="H731" t="s">
        <v>17</v>
      </c>
      <c r="I731" t="s">
        <v>39</v>
      </c>
      <c r="J731">
        <v>21</v>
      </c>
      <c r="K731" t="str">
        <f t="shared" si="34"/>
        <v>21 to 30</v>
      </c>
      <c r="L731" s="1">
        <v>50</v>
      </c>
      <c r="M731" t="s">
        <v>2065</v>
      </c>
      <c r="N731" t="s">
        <v>2071</v>
      </c>
      <c r="O731">
        <v>1.4</v>
      </c>
      <c r="P731" t="s">
        <v>53</v>
      </c>
      <c r="Q731" t="s">
        <v>2077</v>
      </c>
      <c r="T731" s="2" t="str">
        <f t="shared" si="35"/>
        <v/>
      </c>
    </row>
    <row r="732" spans="1:21" x14ac:dyDescent="0.3">
      <c r="A732" t="s">
        <v>1524</v>
      </c>
      <c r="B732" t="s">
        <v>1525</v>
      </c>
      <c r="C732" t="s">
        <v>76</v>
      </c>
      <c r="D732" t="s">
        <v>80</v>
      </c>
      <c r="E732">
        <v>37</v>
      </c>
      <c r="F732" t="str">
        <f t="shared" si="33"/>
        <v>31 to 40</v>
      </c>
      <c r="G732" t="s">
        <v>31</v>
      </c>
      <c r="H732" t="s">
        <v>32</v>
      </c>
      <c r="I732" t="s">
        <v>79</v>
      </c>
      <c r="J732">
        <v>11</v>
      </c>
      <c r="K732" t="str">
        <f t="shared" si="34"/>
        <v>11 to 20</v>
      </c>
      <c r="L732" s="1">
        <v>40</v>
      </c>
      <c r="M732" t="s">
        <v>2068</v>
      </c>
      <c r="N732" t="s">
        <v>2067</v>
      </c>
      <c r="O732">
        <v>3.6</v>
      </c>
      <c r="P732" t="s">
        <v>53</v>
      </c>
      <c r="Q732" t="s">
        <v>2077</v>
      </c>
      <c r="R732">
        <v>0.73</v>
      </c>
      <c r="S732" s="2">
        <v>0.73</v>
      </c>
      <c r="T732" s="2" t="str">
        <f t="shared" si="35"/>
        <v>71% to 80%</v>
      </c>
    </row>
    <row r="733" spans="1:21" x14ac:dyDescent="0.3">
      <c r="A733" t="s">
        <v>1526</v>
      </c>
      <c r="B733" t="s">
        <v>1527</v>
      </c>
      <c r="C733" t="s">
        <v>76</v>
      </c>
      <c r="D733" t="s">
        <v>80</v>
      </c>
      <c r="E733">
        <v>58</v>
      </c>
      <c r="F733" t="str">
        <f t="shared" si="33"/>
        <v>51 to 60</v>
      </c>
      <c r="G733" t="s">
        <v>46</v>
      </c>
      <c r="H733" t="s">
        <v>17</v>
      </c>
      <c r="I733" t="s">
        <v>33</v>
      </c>
      <c r="J733">
        <v>0</v>
      </c>
      <c r="K733" t="str">
        <f t="shared" si="34"/>
        <v>0 to 10</v>
      </c>
      <c r="L733" s="1">
        <v>50</v>
      </c>
      <c r="M733" t="s">
        <v>2071</v>
      </c>
      <c r="O733">
        <v>2.2999999999999998</v>
      </c>
      <c r="P733">
        <v>0</v>
      </c>
      <c r="Q733" t="s">
        <v>2077</v>
      </c>
      <c r="R733">
        <v>0.77</v>
      </c>
      <c r="S733" s="2">
        <v>0.77</v>
      </c>
      <c r="T733" s="2" t="str">
        <f t="shared" si="35"/>
        <v>71% to 80%</v>
      </c>
    </row>
    <row r="734" spans="1:21" x14ac:dyDescent="0.3">
      <c r="A734" t="s">
        <v>1528</v>
      </c>
      <c r="B734" t="s">
        <v>1529</v>
      </c>
      <c r="C734" t="s">
        <v>76</v>
      </c>
      <c r="D734" t="s">
        <v>80</v>
      </c>
      <c r="E734">
        <v>57</v>
      </c>
      <c r="F734" t="str">
        <f t="shared" si="33"/>
        <v>51 to 60</v>
      </c>
      <c r="G734" t="s">
        <v>91</v>
      </c>
      <c r="H734" t="s">
        <v>59</v>
      </c>
      <c r="I734" t="s">
        <v>60</v>
      </c>
      <c r="J734">
        <v>18</v>
      </c>
      <c r="K734" t="str">
        <f t="shared" si="34"/>
        <v>11 to 20</v>
      </c>
      <c r="L734" s="1">
        <v>50</v>
      </c>
      <c r="M734" t="s">
        <v>2071</v>
      </c>
      <c r="O734">
        <v>2.4</v>
      </c>
      <c r="P734">
        <v>1</v>
      </c>
      <c r="Q734" t="s">
        <v>2076</v>
      </c>
      <c r="R734">
        <v>0.63</v>
      </c>
      <c r="S734" s="2">
        <v>0.63</v>
      </c>
      <c r="T734" s="2" t="str">
        <f t="shared" si="35"/>
        <v>61% to 70 %</v>
      </c>
    </row>
    <row r="735" spans="1:21" x14ac:dyDescent="0.3">
      <c r="A735" t="s">
        <v>1530</v>
      </c>
      <c r="B735" t="s">
        <v>1531</v>
      </c>
      <c r="C735" t="s">
        <v>111</v>
      </c>
      <c r="D735" t="s">
        <v>80</v>
      </c>
      <c r="E735">
        <v>34</v>
      </c>
      <c r="F735" t="str">
        <f t="shared" si="33"/>
        <v>31 to 40</v>
      </c>
      <c r="G735" t="s">
        <v>91</v>
      </c>
      <c r="H735" t="s">
        <v>59</v>
      </c>
      <c r="I735" t="s">
        <v>47</v>
      </c>
      <c r="J735">
        <v>3</v>
      </c>
      <c r="K735" t="str">
        <f t="shared" si="34"/>
        <v>0 to 10</v>
      </c>
      <c r="O735">
        <v>0</v>
      </c>
      <c r="P735">
        <v>1</v>
      </c>
      <c r="Q735" t="s">
        <v>2076</v>
      </c>
      <c r="R735">
        <v>0.71</v>
      </c>
      <c r="S735" s="2">
        <v>0.71</v>
      </c>
      <c r="T735" s="2" t="str">
        <f t="shared" si="35"/>
        <v>71% to 80%</v>
      </c>
    </row>
    <row r="736" spans="1:21" x14ac:dyDescent="0.3">
      <c r="A736" t="s">
        <v>1532</v>
      </c>
      <c r="B736" t="s">
        <v>1533</v>
      </c>
      <c r="C736" t="s">
        <v>15</v>
      </c>
      <c r="D736" t="s">
        <v>20</v>
      </c>
      <c r="E736">
        <v>50</v>
      </c>
      <c r="F736" t="str">
        <f t="shared" si="33"/>
        <v>41 to 50</v>
      </c>
      <c r="G736" t="s">
        <v>101</v>
      </c>
      <c r="H736" t="s">
        <v>59</v>
      </c>
      <c r="I736" t="s">
        <v>79</v>
      </c>
      <c r="J736">
        <v>26</v>
      </c>
      <c r="K736" t="str">
        <f t="shared" si="34"/>
        <v>21 to 30</v>
      </c>
      <c r="O736">
        <v>3.6</v>
      </c>
      <c r="P736">
        <v>1</v>
      </c>
      <c r="Q736" t="s">
        <v>2076</v>
      </c>
      <c r="R736">
        <v>82</v>
      </c>
      <c r="S736" s="2">
        <v>0.82</v>
      </c>
      <c r="T736" s="2" t="str">
        <f t="shared" si="35"/>
        <v>81% to 90%</v>
      </c>
      <c r="U736">
        <v>0.82</v>
      </c>
    </row>
    <row r="737" spans="1:21" x14ac:dyDescent="0.3">
      <c r="A737" t="s">
        <v>1534</v>
      </c>
      <c r="B737" t="s">
        <v>1535</v>
      </c>
      <c r="C737" t="s">
        <v>15</v>
      </c>
      <c r="D737" t="s">
        <v>20</v>
      </c>
      <c r="E737">
        <v>47</v>
      </c>
      <c r="F737" t="str">
        <f t="shared" si="33"/>
        <v>41 to 50</v>
      </c>
      <c r="G737" t="s">
        <v>42</v>
      </c>
      <c r="H737" t="s">
        <v>43</v>
      </c>
      <c r="I737" t="s">
        <v>66</v>
      </c>
      <c r="J737">
        <v>29</v>
      </c>
      <c r="K737" t="str">
        <f t="shared" si="34"/>
        <v>21 to 30</v>
      </c>
      <c r="L737" s="1">
        <v>40</v>
      </c>
      <c r="M737" t="s">
        <v>2065</v>
      </c>
      <c r="N737" t="s">
        <v>2067</v>
      </c>
      <c r="O737">
        <v>4.3</v>
      </c>
      <c r="P737">
        <v>1</v>
      </c>
      <c r="Q737" t="s">
        <v>2076</v>
      </c>
      <c r="R737">
        <v>0.95</v>
      </c>
      <c r="S737" s="2">
        <v>0.95</v>
      </c>
      <c r="T737" s="2" t="str">
        <f t="shared" si="35"/>
        <v>91% to 100%</v>
      </c>
    </row>
    <row r="738" spans="1:21" x14ac:dyDescent="0.3">
      <c r="A738" t="s">
        <v>1536</v>
      </c>
      <c r="B738" t="s">
        <v>1537</v>
      </c>
      <c r="C738" t="s">
        <v>36</v>
      </c>
      <c r="D738" t="s">
        <v>20</v>
      </c>
      <c r="E738">
        <v>60</v>
      </c>
      <c r="F738" t="str">
        <f t="shared" si="33"/>
        <v>51 to 60</v>
      </c>
      <c r="G738" t="s">
        <v>118</v>
      </c>
      <c r="H738" t="s">
        <v>119</v>
      </c>
      <c r="I738" t="s">
        <v>39</v>
      </c>
      <c r="J738">
        <v>15</v>
      </c>
      <c r="K738" t="str">
        <f t="shared" si="34"/>
        <v>11 to 20</v>
      </c>
      <c r="L738" s="1">
        <v>100</v>
      </c>
      <c r="M738" t="s">
        <v>2070</v>
      </c>
      <c r="O738">
        <v>1.5</v>
      </c>
      <c r="P738">
        <v>0</v>
      </c>
      <c r="Q738" t="s">
        <v>2077</v>
      </c>
      <c r="R738">
        <v>80</v>
      </c>
      <c r="S738" s="2">
        <v>0.8</v>
      </c>
      <c r="T738" s="2" t="str">
        <f t="shared" si="35"/>
        <v>71% to 80%</v>
      </c>
      <c r="U738">
        <v>0.8</v>
      </c>
    </row>
    <row r="739" spans="1:21" x14ac:dyDescent="0.3">
      <c r="A739" t="s">
        <v>1538</v>
      </c>
      <c r="B739" t="s">
        <v>1539</v>
      </c>
      <c r="C739" t="s">
        <v>15</v>
      </c>
      <c r="D739" t="s">
        <v>20</v>
      </c>
      <c r="E739">
        <v>20</v>
      </c>
      <c r="F739" t="str">
        <f t="shared" si="33"/>
        <v>11 to 20</v>
      </c>
      <c r="G739" t="s">
        <v>155</v>
      </c>
      <c r="H739" t="s">
        <v>17</v>
      </c>
      <c r="I739" t="s">
        <v>79</v>
      </c>
      <c r="J739">
        <v>2</v>
      </c>
      <c r="K739" t="str">
        <f t="shared" si="34"/>
        <v>0 to 10</v>
      </c>
      <c r="O739">
        <v>1.1000000000000001</v>
      </c>
      <c r="P739" t="b">
        <v>0</v>
      </c>
      <c r="Q739" t="s">
        <v>2077</v>
      </c>
      <c r="R739">
        <v>0.69</v>
      </c>
      <c r="S739" s="2">
        <v>0.69</v>
      </c>
      <c r="T739" s="2" t="str">
        <f t="shared" si="35"/>
        <v>61% to 70 %</v>
      </c>
    </row>
    <row r="740" spans="1:21" x14ac:dyDescent="0.3">
      <c r="A740" t="s">
        <v>1540</v>
      </c>
      <c r="B740" t="s">
        <v>1541</v>
      </c>
      <c r="C740" t="s">
        <v>76</v>
      </c>
      <c r="D740" t="s">
        <v>80</v>
      </c>
      <c r="E740">
        <v>35</v>
      </c>
      <c r="F740" t="str">
        <f t="shared" si="33"/>
        <v>31 to 40</v>
      </c>
      <c r="G740" t="s">
        <v>139</v>
      </c>
      <c r="H740" t="s">
        <v>59</v>
      </c>
      <c r="I740" t="s">
        <v>52</v>
      </c>
      <c r="J740">
        <v>10</v>
      </c>
      <c r="K740" t="str">
        <f t="shared" si="34"/>
        <v>0 to 10</v>
      </c>
      <c r="L740" s="1">
        <v>50</v>
      </c>
      <c r="M740" t="s">
        <v>2071</v>
      </c>
      <c r="O740">
        <v>1.4</v>
      </c>
      <c r="P740" t="b">
        <v>1</v>
      </c>
      <c r="Q740" t="s">
        <v>2076</v>
      </c>
      <c r="R740">
        <v>0.85</v>
      </c>
      <c r="S740" s="2">
        <v>0.85</v>
      </c>
      <c r="T740" s="2" t="str">
        <f t="shared" si="35"/>
        <v>81% to 90%</v>
      </c>
    </row>
    <row r="741" spans="1:21" x14ac:dyDescent="0.3">
      <c r="A741" t="s">
        <v>1542</v>
      </c>
      <c r="B741" t="s">
        <v>1543</v>
      </c>
      <c r="C741" t="s">
        <v>76</v>
      </c>
      <c r="D741" t="s">
        <v>80</v>
      </c>
      <c r="E741">
        <v>22</v>
      </c>
      <c r="F741" t="str">
        <f t="shared" si="33"/>
        <v>21 to 30</v>
      </c>
      <c r="G741" t="s">
        <v>31</v>
      </c>
      <c r="H741" t="s">
        <v>32</v>
      </c>
      <c r="I741" t="s">
        <v>47</v>
      </c>
      <c r="J741">
        <v>0</v>
      </c>
      <c r="K741" t="str">
        <f t="shared" si="34"/>
        <v>0 to 10</v>
      </c>
      <c r="L741" s="1">
        <v>100</v>
      </c>
      <c r="M741" t="s">
        <v>2070</v>
      </c>
      <c r="O741">
        <v>2.7</v>
      </c>
      <c r="P741" t="b">
        <v>1</v>
      </c>
      <c r="Q741" t="s">
        <v>2076</v>
      </c>
      <c r="R741">
        <v>0.64</v>
      </c>
      <c r="S741" s="2">
        <v>0.64</v>
      </c>
      <c r="T741" s="2" t="str">
        <f t="shared" si="35"/>
        <v>61% to 70 %</v>
      </c>
    </row>
    <row r="742" spans="1:21" x14ac:dyDescent="0.3">
      <c r="A742" t="s">
        <v>1544</v>
      </c>
      <c r="B742" t="s">
        <v>1545</v>
      </c>
      <c r="C742" t="s">
        <v>111</v>
      </c>
      <c r="D742" t="s">
        <v>80</v>
      </c>
      <c r="E742">
        <v>48</v>
      </c>
      <c r="F742" t="str">
        <f t="shared" si="33"/>
        <v>41 to 50</v>
      </c>
      <c r="G742" t="s">
        <v>23</v>
      </c>
      <c r="H742" t="s">
        <v>24</v>
      </c>
      <c r="I742" t="s">
        <v>52</v>
      </c>
      <c r="J742">
        <v>7</v>
      </c>
      <c r="K742" t="str">
        <f t="shared" si="34"/>
        <v>0 to 10</v>
      </c>
      <c r="L742" s="1">
        <v>50</v>
      </c>
      <c r="M742" t="s">
        <v>2071</v>
      </c>
      <c r="O742">
        <v>4.7</v>
      </c>
      <c r="P742" t="s">
        <v>96</v>
      </c>
      <c r="Q742" t="s">
        <v>2076</v>
      </c>
      <c r="R742">
        <v>0.6</v>
      </c>
      <c r="S742" s="2">
        <v>0.6</v>
      </c>
      <c r="T742" s="2" t="str">
        <f t="shared" si="35"/>
        <v>50% to 60%</v>
      </c>
    </row>
    <row r="743" spans="1:21" x14ac:dyDescent="0.3">
      <c r="A743" t="s">
        <v>1546</v>
      </c>
      <c r="B743" t="s">
        <v>1547</v>
      </c>
      <c r="C743" t="s">
        <v>76</v>
      </c>
      <c r="D743" t="s">
        <v>80</v>
      </c>
      <c r="E743">
        <v>45</v>
      </c>
      <c r="F743" t="str">
        <f t="shared" si="33"/>
        <v>41 to 50</v>
      </c>
      <c r="G743" t="s">
        <v>139</v>
      </c>
      <c r="H743" t="s">
        <v>59</v>
      </c>
      <c r="I743" t="s">
        <v>63</v>
      </c>
      <c r="J743">
        <v>23</v>
      </c>
      <c r="K743" t="str">
        <f t="shared" si="34"/>
        <v>21 to 30</v>
      </c>
      <c r="L743" s="1">
        <v>100</v>
      </c>
      <c r="M743" t="s">
        <v>2070</v>
      </c>
      <c r="O743">
        <v>2.4</v>
      </c>
      <c r="P743" t="b">
        <v>0</v>
      </c>
      <c r="Q743" t="s">
        <v>2077</v>
      </c>
      <c r="R743">
        <v>0.96</v>
      </c>
      <c r="S743" s="2">
        <v>0.96</v>
      </c>
      <c r="T743" s="2" t="str">
        <f t="shared" si="35"/>
        <v>91% to 100%</v>
      </c>
    </row>
    <row r="744" spans="1:21" x14ac:dyDescent="0.3">
      <c r="A744" t="s">
        <v>1548</v>
      </c>
      <c r="B744" t="s">
        <v>1549</v>
      </c>
      <c r="C744" t="s">
        <v>76</v>
      </c>
      <c r="D744" t="s">
        <v>80</v>
      </c>
      <c r="E744">
        <v>60</v>
      </c>
      <c r="F744" t="str">
        <f t="shared" si="33"/>
        <v>51 to 60</v>
      </c>
      <c r="G744" t="s">
        <v>155</v>
      </c>
      <c r="H744" t="s">
        <v>17</v>
      </c>
      <c r="I744" t="s">
        <v>63</v>
      </c>
      <c r="J744">
        <v>34</v>
      </c>
      <c r="K744" t="str">
        <f t="shared" si="34"/>
        <v>31 to 40</v>
      </c>
      <c r="L744" s="1">
        <v>100</v>
      </c>
      <c r="M744" t="s">
        <v>2065</v>
      </c>
      <c r="N744" t="s">
        <v>2070</v>
      </c>
      <c r="O744">
        <v>0</v>
      </c>
      <c r="P744" t="b">
        <v>1</v>
      </c>
      <c r="Q744" t="s">
        <v>2076</v>
      </c>
      <c r="R744">
        <v>0.74</v>
      </c>
      <c r="S744" s="2">
        <v>0.74</v>
      </c>
      <c r="T744" s="2" t="str">
        <f t="shared" si="35"/>
        <v>71% to 80%</v>
      </c>
    </row>
    <row r="745" spans="1:21" x14ac:dyDescent="0.3">
      <c r="A745" t="s">
        <v>1550</v>
      </c>
      <c r="B745" t="s">
        <v>1551</v>
      </c>
      <c r="C745" t="s">
        <v>76</v>
      </c>
      <c r="D745" t="s">
        <v>80</v>
      </c>
      <c r="E745">
        <v>38</v>
      </c>
      <c r="F745" t="str">
        <f t="shared" si="33"/>
        <v>31 to 40</v>
      </c>
      <c r="G745" t="s">
        <v>118</v>
      </c>
      <c r="H745" t="s">
        <v>119</v>
      </c>
      <c r="I745" t="s">
        <v>108</v>
      </c>
      <c r="J745">
        <v>15</v>
      </c>
      <c r="K745" t="str">
        <f t="shared" si="34"/>
        <v>11 to 20</v>
      </c>
      <c r="L745" s="1">
        <v>40</v>
      </c>
      <c r="M745" t="s">
        <v>2067</v>
      </c>
      <c r="O745">
        <v>4</v>
      </c>
      <c r="R745">
        <v>0.62</v>
      </c>
      <c r="S745" s="2">
        <v>0.62</v>
      </c>
      <c r="T745" s="2" t="str">
        <f t="shared" si="35"/>
        <v>61% to 70 %</v>
      </c>
    </row>
    <row r="746" spans="1:21" x14ac:dyDescent="0.3">
      <c r="A746" t="s">
        <v>1552</v>
      </c>
      <c r="B746" t="s">
        <v>1553</v>
      </c>
      <c r="C746" t="s">
        <v>111</v>
      </c>
      <c r="D746" t="s">
        <v>80</v>
      </c>
      <c r="F746" t="str">
        <f t="shared" si="33"/>
        <v/>
      </c>
      <c r="G746" t="s">
        <v>58</v>
      </c>
      <c r="H746" t="s">
        <v>59</v>
      </c>
      <c r="I746" t="s">
        <v>60</v>
      </c>
      <c r="J746">
        <v>5</v>
      </c>
      <c r="K746" t="str">
        <f t="shared" si="34"/>
        <v>0 to 10</v>
      </c>
      <c r="L746" s="1">
        <v>100</v>
      </c>
      <c r="M746" t="s">
        <v>2070</v>
      </c>
      <c r="O746">
        <v>1.3</v>
      </c>
      <c r="P746">
        <v>0</v>
      </c>
      <c r="Q746" t="s">
        <v>2077</v>
      </c>
      <c r="R746">
        <v>0.6</v>
      </c>
      <c r="S746" s="2">
        <v>0.6</v>
      </c>
      <c r="T746" s="2" t="str">
        <f t="shared" si="35"/>
        <v>50% to 60%</v>
      </c>
    </row>
    <row r="747" spans="1:21" x14ac:dyDescent="0.3">
      <c r="A747" t="s">
        <v>1554</v>
      </c>
      <c r="B747" t="s">
        <v>1555</v>
      </c>
      <c r="C747" t="s">
        <v>76</v>
      </c>
      <c r="D747" t="s">
        <v>80</v>
      </c>
      <c r="E747">
        <v>38</v>
      </c>
      <c r="F747" t="str">
        <f t="shared" si="33"/>
        <v>31 to 40</v>
      </c>
      <c r="G747" t="s">
        <v>91</v>
      </c>
      <c r="H747" t="s">
        <v>59</v>
      </c>
      <c r="I747" t="s">
        <v>47</v>
      </c>
      <c r="J747">
        <v>20</v>
      </c>
      <c r="K747" t="str">
        <f t="shared" si="34"/>
        <v>11 to 20</v>
      </c>
      <c r="L747" s="1">
        <v>50</v>
      </c>
      <c r="M747" t="s">
        <v>2071</v>
      </c>
      <c r="O747">
        <v>0</v>
      </c>
      <c r="R747">
        <v>0.64</v>
      </c>
      <c r="S747" s="2">
        <v>0.64</v>
      </c>
      <c r="T747" s="2" t="str">
        <f t="shared" si="35"/>
        <v>61% to 70 %</v>
      </c>
    </row>
    <row r="748" spans="1:21" x14ac:dyDescent="0.3">
      <c r="A748" t="s">
        <v>1556</v>
      </c>
      <c r="B748" t="s">
        <v>1557</v>
      </c>
      <c r="C748" t="s">
        <v>76</v>
      </c>
      <c r="D748" t="s">
        <v>80</v>
      </c>
      <c r="E748">
        <v>22</v>
      </c>
      <c r="F748" t="str">
        <f t="shared" si="33"/>
        <v>21 to 30</v>
      </c>
      <c r="G748" t="s">
        <v>158</v>
      </c>
      <c r="H748" t="s">
        <v>159</v>
      </c>
      <c r="I748" t="s">
        <v>18</v>
      </c>
      <c r="J748">
        <v>1</v>
      </c>
      <c r="K748" t="str">
        <f t="shared" si="34"/>
        <v>0 to 10</v>
      </c>
      <c r="L748" s="1">
        <v>100</v>
      </c>
      <c r="M748" t="s">
        <v>2070</v>
      </c>
      <c r="O748">
        <v>4.8</v>
      </c>
      <c r="P748" t="s">
        <v>96</v>
      </c>
      <c r="Q748" t="s">
        <v>2076</v>
      </c>
      <c r="R748">
        <v>0.75</v>
      </c>
      <c r="S748" s="2">
        <v>0.75</v>
      </c>
      <c r="T748" s="2" t="str">
        <f t="shared" si="35"/>
        <v>71% to 80%</v>
      </c>
    </row>
    <row r="749" spans="1:21" x14ac:dyDescent="0.3">
      <c r="A749" t="s">
        <v>1558</v>
      </c>
      <c r="B749" t="s">
        <v>1559</v>
      </c>
      <c r="C749" t="s">
        <v>111</v>
      </c>
      <c r="D749" t="s">
        <v>80</v>
      </c>
      <c r="E749">
        <v>28</v>
      </c>
      <c r="F749" t="str">
        <f t="shared" si="33"/>
        <v>21 to 30</v>
      </c>
      <c r="G749" t="s">
        <v>58</v>
      </c>
      <c r="H749" t="s">
        <v>59</v>
      </c>
      <c r="I749" t="s">
        <v>66</v>
      </c>
      <c r="J749">
        <v>3</v>
      </c>
      <c r="K749" t="str">
        <f t="shared" si="34"/>
        <v>0 to 10</v>
      </c>
      <c r="L749" s="1">
        <v>20</v>
      </c>
      <c r="M749" t="s">
        <v>2068</v>
      </c>
      <c r="N749" t="s">
        <v>2072</v>
      </c>
      <c r="P749">
        <v>1</v>
      </c>
      <c r="Q749" t="s">
        <v>2076</v>
      </c>
      <c r="R749">
        <v>0.79</v>
      </c>
      <c r="S749" s="2">
        <v>0.79</v>
      </c>
      <c r="T749" s="2" t="str">
        <f t="shared" si="35"/>
        <v>71% to 80%</v>
      </c>
    </row>
    <row r="750" spans="1:21" x14ac:dyDescent="0.3">
      <c r="A750" t="s">
        <v>1560</v>
      </c>
      <c r="B750" t="s">
        <v>1561</v>
      </c>
      <c r="C750" t="s">
        <v>76</v>
      </c>
      <c r="D750" t="s">
        <v>80</v>
      </c>
      <c r="E750">
        <v>43</v>
      </c>
      <c r="F750" t="str">
        <f t="shared" si="33"/>
        <v>41 to 50</v>
      </c>
      <c r="G750" t="s">
        <v>50</v>
      </c>
      <c r="H750" t="s">
        <v>51</v>
      </c>
      <c r="I750" t="s">
        <v>33</v>
      </c>
      <c r="J750">
        <v>7</v>
      </c>
      <c r="K750" t="str">
        <f t="shared" si="34"/>
        <v>0 to 10</v>
      </c>
      <c r="L750" s="1">
        <v>50</v>
      </c>
      <c r="M750" t="s">
        <v>2068</v>
      </c>
      <c r="N750" t="s">
        <v>2071</v>
      </c>
      <c r="P750">
        <v>1</v>
      </c>
      <c r="Q750" t="s">
        <v>2076</v>
      </c>
      <c r="R750">
        <v>0.8</v>
      </c>
      <c r="S750" s="2">
        <v>0.8</v>
      </c>
      <c r="T750" s="2" t="str">
        <f t="shared" si="35"/>
        <v>71% to 80%</v>
      </c>
    </row>
    <row r="751" spans="1:21" x14ac:dyDescent="0.3">
      <c r="A751" t="s">
        <v>1562</v>
      </c>
      <c r="B751" t="s">
        <v>1563</v>
      </c>
      <c r="C751" t="s">
        <v>76</v>
      </c>
      <c r="D751" t="s">
        <v>80</v>
      </c>
      <c r="E751">
        <v>37</v>
      </c>
      <c r="F751" t="str">
        <f t="shared" si="33"/>
        <v>31 to 40</v>
      </c>
      <c r="G751" t="s">
        <v>101</v>
      </c>
      <c r="H751" t="s">
        <v>59</v>
      </c>
      <c r="I751" t="s">
        <v>52</v>
      </c>
      <c r="J751">
        <v>10</v>
      </c>
      <c r="K751" t="str">
        <f t="shared" si="34"/>
        <v>0 to 10</v>
      </c>
      <c r="L751" s="1">
        <v>30</v>
      </c>
      <c r="M751" t="s">
        <v>2069</v>
      </c>
      <c r="O751">
        <v>0</v>
      </c>
      <c r="P751">
        <v>0</v>
      </c>
      <c r="Q751" t="s">
        <v>2077</v>
      </c>
      <c r="R751">
        <v>0.96</v>
      </c>
      <c r="S751" s="2">
        <v>0.96</v>
      </c>
      <c r="T751" s="2" t="str">
        <f t="shared" si="35"/>
        <v>91% to 100%</v>
      </c>
    </row>
    <row r="752" spans="1:21" x14ac:dyDescent="0.3">
      <c r="A752" t="s">
        <v>1564</v>
      </c>
      <c r="B752" t="s">
        <v>1565</v>
      </c>
      <c r="C752" t="s">
        <v>15</v>
      </c>
      <c r="D752" t="s">
        <v>20</v>
      </c>
      <c r="E752">
        <v>42</v>
      </c>
      <c r="F752" t="str">
        <f t="shared" si="33"/>
        <v>41 to 50</v>
      </c>
      <c r="G752" t="s">
        <v>50</v>
      </c>
      <c r="H752" t="s">
        <v>51</v>
      </c>
      <c r="I752" t="s">
        <v>66</v>
      </c>
      <c r="J752">
        <v>2</v>
      </c>
      <c r="K752" t="str">
        <f t="shared" si="34"/>
        <v>0 to 10</v>
      </c>
      <c r="L752" s="1">
        <v>50</v>
      </c>
      <c r="M752" t="s">
        <v>2065</v>
      </c>
      <c r="N752" t="s">
        <v>2071</v>
      </c>
      <c r="O752">
        <v>1.9</v>
      </c>
      <c r="P752" t="b">
        <v>0</v>
      </c>
      <c r="Q752" t="s">
        <v>2077</v>
      </c>
      <c r="R752">
        <v>0.95</v>
      </c>
      <c r="S752" s="2">
        <v>0.95</v>
      </c>
      <c r="T752" s="2" t="str">
        <f t="shared" si="35"/>
        <v>91% to 100%</v>
      </c>
    </row>
    <row r="753" spans="1:20" x14ac:dyDescent="0.3">
      <c r="A753" t="s">
        <v>1566</v>
      </c>
      <c r="B753" t="s">
        <v>1567</v>
      </c>
      <c r="C753" t="s">
        <v>15</v>
      </c>
      <c r="D753" t="s">
        <v>20</v>
      </c>
      <c r="E753">
        <v>35</v>
      </c>
      <c r="F753" t="str">
        <f t="shared" si="33"/>
        <v>31 to 40</v>
      </c>
      <c r="G753" t="s">
        <v>16</v>
      </c>
      <c r="H753" t="s">
        <v>17</v>
      </c>
      <c r="I753" t="s">
        <v>79</v>
      </c>
      <c r="J753">
        <v>6</v>
      </c>
      <c r="K753" t="str">
        <f t="shared" si="34"/>
        <v>0 to 10</v>
      </c>
      <c r="L753" s="1">
        <v>40</v>
      </c>
      <c r="M753" t="s">
        <v>2067</v>
      </c>
      <c r="P753" t="s">
        <v>19</v>
      </c>
      <c r="Q753" t="s">
        <v>2076</v>
      </c>
      <c r="R753">
        <v>0.91</v>
      </c>
      <c r="S753" s="2">
        <v>0.91</v>
      </c>
      <c r="T753" s="2" t="str">
        <f t="shared" si="35"/>
        <v>91% to 100%</v>
      </c>
    </row>
    <row r="754" spans="1:20" x14ac:dyDescent="0.3">
      <c r="A754" t="s">
        <v>1568</v>
      </c>
      <c r="B754" t="s">
        <v>1569</v>
      </c>
      <c r="C754" t="s">
        <v>15</v>
      </c>
      <c r="D754" t="s">
        <v>20</v>
      </c>
      <c r="E754">
        <v>21</v>
      </c>
      <c r="F754" t="str">
        <f t="shared" si="33"/>
        <v>21 to 30</v>
      </c>
      <c r="G754" t="s">
        <v>27</v>
      </c>
      <c r="H754" t="s">
        <v>28</v>
      </c>
      <c r="I754" t="s">
        <v>63</v>
      </c>
      <c r="J754">
        <v>3</v>
      </c>
      <c r="K754" t="str">
        <f t="shared" si="34"/>
        <v>0 to 10</v>
      </c>
      <c r="L754" s="1">
        <v>50</v>
      </c>
      <c r="M754" t="s">
        <v>2071</v>
      </c>
      <c r="O754">
        <v>4.5999999999999996</v>
      </c>
      <c r="P754" t="s">
        <v>96</v>
      </c>
      <c r="Q754" t="s">
        <v>2076</v>
      </c>
      <c r="T754" s="2" t="str">
        <f t="shared" si="35"/>
        <v/>
      </c>
    </row>
    <row r="755" spans="1:20" x14ac:dyDescent="0.3">
      <c r="A755" t="s">
        <v>1570</v>
      </c>
      <c r="B755" t="s">
        <v>1571</v>
      </c>
      <c r="C755" t="s">
        <v>15</v>
      </c>
      <c r="D755" t="s">
        <v>20</v>
      </c>
      <c r="E755">
        <v>27</v>
      </c>
      <c r="F755" t="str">
        <f t="shared" si="33"/>
        <v>21 to 30</v>
      </c>
      <c r="G755" t="s">
        <v>101</v>
      </c>
      <c r="H755" t="s">
        <v>59</v>
      </c>
      <c r="I755" t="s">
        <v>39</v>
      </c>
      <c r="J755">
        <v>3</v>
      </c>
      <c r="K755" t="str">
        <f t="shared" si="34"/>
        <v>0 to 10</v>
      </c>
      <c r="L755" s="1">
        <v>50</v>
      </c>
      <c r="M755" t="s">
        <v>2068</v>
      </c>
      <c r="N755" t="s">
        <v>2071</v>
      </c>
      <c r="P755">
        <v>1</v>
      </c>
      <c r="Q755" t="s">
        <v>2076</v>
      </c>
      <c r="R755">
        <v>0.96</v>
      </c>
      <c r="S755" s="2">
        <v>0.96</v>
      </c>
      <c r="T755" s="2" t="str">
        <f t="shared" si="35"/>
        <v>91% to 100%</v>
      </c>
    </row>
    <row r="756" spans="1:20" x14ac:dyDescent="0.3">
      <c r="A756" t="s">
        <v>1572</v>
      </c>
      <c r="B756" t="s">
        <v>1573</v>
      </c>
      <c r="C756" t="s">
        <v>15</v>
      </c>
      <c r="D756" t="s">
        <v>20</v>
      </c>
      <c r="E756">
        <v>40</v>
      </c>
      <c r="F756" t="str">
        <f t="shared" si="33"/>
        <v>31 to 40</v>
      </c>
      <c r="G756" t="s">
        <v>101</v>
      </c>
      <c r="H756" t="s">
        <v>59</v>
      </c>
      <c r="I756" t="s">
        <v>60</v>
      </c>
      <c r="J756">
        <v>13</v>
      </c>
      <c r="K756" t="str">
        <f t="shared" si="34"/>
        <v>11 to 20</v>
      </c>
      <c r="L756" s="1">
        <v>50</v>
      </c>
      <c r="M756" t="s">
        <v>2068</v>
      </c>
      <c r="N756" t="s">
        <v>2071</v>
      </c>
      <c r="O756">
        <v>2.9</v>
      </c>
      <c r="P756" t="s">
        <v>67</v>
      </c>
      <c r="Q756" t="s">
        <v>2077</v>
      </c>
      <c r="R756">
        <v>0.82</v>
      </c>
      <c r="S756" s="2">
        <v>0.82</v>
      </c>
      <c r="T756" s="2" t="str">
        <f t="shared" si="35"/>
        <v>81% to 90%</v>
      </c>
    </row>
    <row r="757" spans="1:20" x14ac:dyDescent="0.3">
      <c r="A757" t="s">
        <v>1574</v>
      </c>
      <c r="B757" t="s">
        <v>1575</v>
      </c>
      <c r="C757" t="s">
        <v>15</v>
      </c>
      <c r="D757" t="s">
        <v>20</v>
      </c>
      <c r="E757">
        <v>59</v>
      </c>
      <c r="F757" t="str">
        <f t="shared" si="33"/>
        <v>51 to 60</v>
      </c>
      <c r="G757" t="s">
        <v>58</v>
      </c>
      <c r="H757" t="s">
        <v>59</v>
      </c>
      <c r="I757" t="s">
        <v>52</v>
      </c>
      <c r="J757">
        <v>22</v>
      </c>
      <c r="K757" t="str">
        <f t="shared" si="34"/>
        <v>21 to 30</v>
      </c>
      <c r="L757" s="1">
        <v>40</v>
      </c>
      <c r="M757" t="s">
        <v>2067</v>
      </c>
      <c r="O757">
        <v>1.1000000000000001</v>
      </c>
      <c r="P757" t="s">
        <v>19</v>
      </c>
      <c r="Q757" t="s">
        <v>2076</v>
      </c>
      <c r="R757">
        <v>0.61</v>
      </c>
      <c r="S757" s="2">
        <v>0.61</v>
      </c>
      <c r="T757" s="2" t="str">
        <f t="shared" si="35"/>
        <v>61% to 70 %</v>
      </c>
    </row>
    <row r="758" spans="1:20" x14ac:dyDescent="0.3">
      <c r="A758" t="s">
        <v>1576</v>
      </c>
      <c r="B758" t="s">
        <v>1577</v>
      </c>
      <c r="C758" t="s">
        <v>15</v>
      </c>
      <c r="D758" t="s">
        <v>20</v>
      </c>
      <c r="E758">
        <v>40</v>
      </c>
      <c r="F758" t="str">
        <f t="shared" si="33"/>
        <v>31 to 40</v>
      </c>
      <c r="G758" t="s">
        <v>139</v>
      </c>
      <c r="H758" t="s">
        <v>59</v>
      </c>
      <c r="I758" t="s">
        <v>39</v>
      </c>
      <c r="J758">
        <v>9</v>
      </c>
      <c r="K758" t="str">
        <f t="shared" si="34"/>
        <v>0 to 10</v>
      </c>
      <c r="L758" s="1">
        <v>100</v>
      </c>
      <c r="M758" t="s">
        <v>2065</v>
      </c>
      <c r="N758" t="s">
        <v>2070</v>
      </c>
      <c r="O758">
        <v>4.5</v>
      </c>
      <c r="P758" t="s">
        <v>19</v>
      </c>
      <c r="Q758" t="s">
        <v>2076</v>
      </c>
      <c r="R758">
        <v>0.69</v>
      </c>
      <c r="S758" s="2">
        <v>0.69</v>
      </c>
      <c r="T758" s="2" t="str">
        <f t="shared" si="35"/>
        <v>61% to 70 %</v>
      </c>
    </row>
    <row r="759" spans="1:20" x14ac:dyDescent="0.3">
      <c r="A759" t="s">
        <v>1578</v>
      </c>
      <c r="B759" t="s">
        <v>1579</v>
      </c>
      <c r="C759" t="s">
        <v>15</v>
      </c>
      <c r="D759" t="s">
        <v>20</v>
      </c>
      <c r="E759">
        <v>46</v>
      </c>
      <c r="F759" t="str">
        <f t="shared" si="33"/>
        <v>41 to 50</v>
      </c>
      <c r="G759" t="s">
        <v>83</v>
      </c>
      <c r="H759" t="s">
        <v>84</v>
      </c>
      <c r="I759" t="s">
        <v>66</v>
      </c>
      <c r="J759">
        <v>23</v>
      </c>
      <c r="K759" t="str">
        <f t="shared" si="34"/>
        <v>21 to 30</v>
      </c>
      <c r="L759" s="1">
        <v>20</v>
      </c>
      <c r="M759" t="s">
        <v>2072</v>
      </c>
      <c r="O759">
        <v>2.9</v>
      </c>
      <c r="P759" t="s">
        <v>53</v>
      </c>
      <c r="Q759" t="s">
        <v>2077</v>
      </c>
      <c r="R759">
        <v>0.72</v>
      </c>
      <c r="S759" s="2">
        <v>0.72</v>
      </c>
      <c r="T759" s="2" t="str">
        <f t="shared" si="35"/>
        <v>71% to 80%</v>
      </c>
    </row>
    <row r="760" spans="1:20" x14ac:dyDescent="0.3">
      <c r="A760" t="s">
        <v>1580</v>
      </c>
      <c r="B760" t="s">
        <v>1581</v>
      </c>
      <c r="C760" t="s">
        <v>36</v>
      </c>
      <c r="D760" t="s">
        <v>20</v>
      </c>
      <c r="E760">
        <v>32</v>
      </c>
      <c r="F760" t="str">
        <f t="shared" si="33"/>
        <v>31 to 40</v>
      </c>
      <c r="G760" t="s">
        <v>91</v>
      </c>
      <c r="H760" t="s">
        <v>59</v>
      </c>
      <c r="I760" t="s">
        <v>18</v>
      </c>
      <c r="J760">
        <v>12</v>
      </c>
      <c r="K760" t="str">
        <f t="shared" si="34"/>
        <v>11 to 20</v>
      </c>
      <c r="L760" s="1">
        <v>40</v>
      </c>
      <c r="M760" t="s">
        <v>2067</v>
      </c>
      <c r="O760">
        <v>0</v>
      </c>
      <c r="P760" t="s">
        <v>19</v>
      </c>
      <c r="Q760" t="s">
        <v>2076</v>
      </c>
      <c r="R760">
        <v>0.63</v>
      </c>
      <c r="S760" s="2">
        <v>0.63</v>
      </c>
      <c r="T760" s="2" t="str">
        <f t="shared" si="35"/>
        <v>61% to 70 %</v>
      </c>
    </row>
    <row r="761" spans="1:20" x14ac:dyDescent="0.3">
      <c r="A761" t="s">
        <v>1582</v>
      </c>
      <c r="B761" t="s">
        <v>1583</v>
      </c>
      <c r="C761" t="s">
        <v>15</v>
      </c>
      <c r="D761" t="s">
        <v>20</v>
      </c>
      <c r="E761">
        <v>21</v>
      </c>
      <c r="F761" t="str">
        <f t="shared" si="33"/>
        <v>21 to 30</v>
      </c>
      <c r="G761" t="s">
        <v>87</v>
      </c>
      <c r="H761" t="s">
        <v>88</v>
      </c>
      <c r="I761" t="s">
        <v>18</v>
      </c>
      <c r="J761">
        <v>1</v>
      </c>
      <c r="K761" t="str">
        <f t="shared" si="34"/>
        <v>0 to 10</v>
      </c>
      <c r="L761" s="1">
        <v>100</v>
      </c>
      <c r="M761" t="s">
        <v>2070</v>
      </c>
      <c r="O761">
        <v>0</v>
      </c>
      <c r="P761">
        <v>1</v>
      </c>
      <c r="Q761" t="s">
        <v>2076</v>
      </c>
      <c r="T761" s="2" t="str">
        <f t="shared" si="35"/>
        <v/>
      </c>
    </row>
    <row r="762" spans="1:20" x14ac:dyDescent="0.3">
      <c r="A762" t="s">
        <v>1584</v>
      </c>
      <c r="B762" t="s">
        <v>1585</v>
      </c>
      <c r="C762" t="s">
        <v>111</v>
      </c>
      <c r="D762" t="s">
        <v>80</v>
      </c>
      <c r="E762">
        <v>22</v>
      </c>
      <c r="F762" t="str">
        <f t="shared" si="33"/>
        <v>21 to 30</v>
      </c>
      <c r="G762" t="s">
        <v>83</v>
      </c>
      <c r="H762" t="s">
        <v>84</v>
      </c>
      <c r="I762" t="s">
        <v>18</v>
      </c>
      <c r="J762">
        <v>0</v>
      </c>
      <c r="K762" t="str">
        <f t="shared" si="34"/>
        <v>0 to 10</v>
      </c>
      <c r="L762" s="1">
        <v>30</v>
      </c>
      <c r="M762" t="s">
        <v>2068</v>
      </c>
      <c r="N762" t="s">
        <v>2069</v>
      </c>
      <c r="O762">
        <v>4.9000000000000004</v>
      </c>
      <c r="P762" t="b">
        <v>0</v>
      </c>
      <c r="Q762" t="s">
        <v>2077</v>
      </c>
      <c r="R762">
        <v>0.73</v>
      </c>
      <c r="S762" s="2">
        <v>0.73</v>
      </c>
      <c r="T762" s="2" t="str">
        <f t="shared" si="35"/>
        <v>71% to 80%</v>
      </c>
    </row>
    <row r="763" spans="1:20" x14ac:dyDescent="0.3">
      <c r="A763" t="s">
        <v>1586</v>
      </c>
      <c r="B763" t="s">
        <v>1587</v>
      </c>
      <c r="C763" t="s">
        <v>76</v>
      </c>
      <c r="D763" t="s">
        <v>80</v>
      </c>
      <c r="E763">
        <v>22</v>
      </c>
      <c r="F763" t="str">
        <f t="shared" si="33"/>
        <v>21 to 30</v>
      </c>
      <c r="G763" t="s">
        <v>83</v>
      </c>
      <c r="H763" t="s">
        <v>84</v>
      </c>
      <c r="I763" t="s">
        <v>47</v>
      </c>
      <c r="J763">
        <v>2</v>
      </c>
      <c r="K763" t="str">
        <f t="shared" si="34"/>
        <v>0 to 10</v>
      </c>
      <c r="L763" s="1">
        <v>30</v>
      </c>
      <c r="M763" t="s">
        <v>2069</v>
      </c>
      <c r="O763">
        <v>2</v>
      </c>
      <c r="P763" t="s">
        <v>67</v>
      </c>
      <c r="Q763" t="s">
        <v>2077</v>
      </c>
      <c r="R763">
        <v>0.96</v>
      </c>
      <c r="S763" s="2">
        <v>0.96</v>
      </c>
      <c r="T763" s="2" t="str">
        <f t="shared" si="35"/>
        <v>91% to 100%</v>
      </c>
    </row>
    <row r="764" spans="1:20" x14ac:dyDescent="0.3">
      <c r="A764" t="s">
        <v>1588</v>
      </c>
      <c r="B764" t="s">
        <v>1589</v>
      </c>
      <c r="C764" t="s">
        <v>76</v>
      </c>
      <c r="D764" t="s">
        <v>80</v>
      </c>
      <c r="E764">
        <v>24</v>
      </c>
      <c r="F764" t="str">
        <f t="shared" si="33"/>
        <v>21 to 30</v>
      </c>
      <c r="G764" t="s">
        <v>83</v>
      </c>
      <c r="H764" t="s">
        <v>84</v>
      </c>
      <c r="I764" t="s">
        <v>60</v>
      </c>
      <c r="J764">
        <v>5</v>
      </c>
      <c r="K764" t="str">
        <f t="shared" si="34"/>
        <v>0 to 10</v>
      </c>
      <c r="L764" s="1">
        <v>40</v>
      </c>
      <c r="M764" t="s">
        <v>2067</v>
      </c>
      <c r="O764">
        <v>3</v>
      </c>
      <c r="P764" t="s">
        <v>67</v>
      </c>
      <c r="Q764" t="s">
        <v>2077</v>
      </c>
      <c r="R764">
        <v>0.86</v>
      </c>
      <c r="S764" s="2">
        <v>0.86</v>
      </c>
      <c r="T764" s="2" t="str">
        <f t="shared" si="35"/>
        <v>81% to 90%</v>
      </c>
    </row>
    <row r="765" spans="1:20" x14ac:dyDescent="0.3">
      <c r="A765" t="s">
        <v>1590</v>
      </c>
      <c r="B765" t="s">
        <v>1591</v>
      </c>
      <c r="C765" t="s">
        <v>111</v>
      </c>
      <c r="D765" t="s">
        <v>80</v>
      </c>
      <c r="E765">
        <v>52</v>
      </c>
      <c r="F765" t="str">
        <f t="shared" si="33"/>
        <v>51 to 60</v>
      </c>
      <c r="G765" t="s">
        <v>254</v>
      </c>
      <c r="H765" t="s">
        <v>255</v>
      </c>
      <c r="I765" t="s">
        <v>18</v>
      </c>
      <c r="J765">
        <v>11</v>
      </c>
      <c r="K765" t="str">
        <f t="shared" si="34"/>
        <v>11 to 20</v>
      </c>
      <c r="L765" s="1">
        <v>100</v>
      </c>
      <c r="M765" t="s">
        <v>2070</v>
      </c>
      <c r="P765">
        <v>0</v>
      </c>
      <c r="Q765" t="s">
        <v>2077</v>
      </c>
      <c r="T765" s="2" t="str">
        <f t="shared" si="35"/>
        <v/>
      </c>
    </row>
    <row r="766" spans="1:20" x14ac:dyDescent="0.3">
      <c r="A766" t="s">
        <v>1592</v>
      </c>
      <c r="B766" t="s">
        <v>1593</v>
      </c>
      <c r="C766" t="s">
        <v>76</v>
      </c>
      <c r="D766" t="s">
        <v>80</v>
      </c>
      <c r="E766">
        <v>46</v>
      </c>
      <c r="F766" t="str">
        <f t="shared" si="33"/>
        <v>41 to 50</v>
      </c>
      <c r="G766" t="s">
        <v>87</v>
      </c>
      <c r="H766" t="s">
        <v>88</v>
      </c>
      <c r="I766" t="s">
        <v>33</v>
      </c>
      <c r="J766">
        <v>10</v>
      </c>
      <c r="K766" t="str">
        <f t="shared" si="34"/>
        <v>0 to 10</v>
      </c>
      <c r="L766" s="1">
        <v>20</v>
      </c>
      <c r="M766" t="s">
        <v>2065</v>
      </c>
      <c r="N766" t="s">
        <v>2072</v>
      </c>
      <c r="O766">
        <v>2.5</v>
      </c>
      <c r="P766" t="b">
        <v>1</v>
      </c>
      <c r="Q766" t="s">
        <v>2076</v>
      </c>
      <c r="R766">
        <v>0.97</v>
      </c>
      <c r="S766" s="2">
        <v>0.97</v>
      </c>
      <c r="T766" s="2" t="str">
        <f t="shared" si="35"/>
        <v>91% to 100%</v>
      </c>
    </row>
    <row r="767" spans="1:20" x14ac:dyDescent="0.3">
      <c r="A767" t="s">
        <v>1594</v>
      </c>
      <c r="B767" t="s">
        <v>1595</v>
      </c>
      <c r="C767" t="s">
        <v>76</v>
      </c>
      <c r="D767" t="s">
        <v>80</v>
      </c>
      <c r="E767">
        <v>39</v>
      </c>
      <c r="F767" t="str">
        <f t="shared" si="33"/>
        <v>31 to 40</v>
      </c>
      <c r="G767" t="s">
        <v>46</v>
      </c>
      <c r="H767" t="s">
        <v>17</v>
      </c>
      <c r="I767" t="s">
        <v>33</v>
      </c>
      <c r="J767">
        <v>11</v>
      </c>
      <c r="K767" t="str">
        <f t="shared" si="34"/>
        <v>11 to 20</v>
      </c>
      <c r="L767" s="1">
        <v>100</v>
      </c>
      <c r="M767" t="s">
        <v>2070</v>
      </c>
      <c r="O767">
        <v>3.5</v>
      </c>
      <c r="P767" t="s">
        <v>96</v>
      </c>
      <c r="Q767" t="s">
        <v>2076</v>
      </c>
      <c r="R767">
        <v>0.82</v>
      </c>
      <c r="S767" s="2">
        <v>0.82</v>
      </c>
      <c r="T767" s="2" t="str">
        <f t="shared" si="35"/>
        <v>81% to 90%</v>
      </c>
    </row>
    <row r="768" spans="1:20" x14ac:dyDescent="0.3">
      <c r="A768" t="s">
        <v>1596</v>
      </c>
      <c r="B768" t="s">
        <v>1597</v>
      </c>
      <c r="C768" t="s">
        <v>76</v>
      </c>
      <c r="D768" t="s">
        <v>80</v>
      </c>
      <c r="E768">
        <v>55</v>
      </c>
      <c r="F768" t="str">
        <f t="shared" si="33"/>
        <v>51 to 60</v>
      </c>
      <c r="G768" t="s">
        <v>104</v>
      </c>
      <c r="H768" t="s">
        <v>105</v>
      </c>
      <c r="I768" t="s">
        <v>52</v>
      </c>
      <c r="J768">
        <v>33</v>
      </c>
      <c r="K768" t="str">
        <f t="shared" si="34"/>
        <v>31 to 40</v>
      </c>
      <c r="L768" s="1">
        <v>40</v>
      </c>
      <c r="M768" t="s">
        <v>2067</v>
      </c>
      <c r="O768">
        <v>1.5</v>
      </c>
      <c r="P768" t="s">
        <v>96</v>
      </c>
      <c r="Q768" t="s">
        <v>2076</v>
      </c>
      <c r="R768">
        <v>0.71</v>
      </c>
      <c r="S768" s="2">
        <v>0.71</v>
      </c>
      <c r="T768" s="2" t="str">
        <f t="shared" si="35"/>
        <v>71% to 80%</v>
      </c>
    </row>
    <row r="769" spans="1:21" x14ac:dyDescent="0.3">
      <c r="A769" t="s">
        <v>1598</v>
      </c>
      <c r="B769" t="s">
        <v>1599</v>
      </c>
      <c r="C769" t="s">
        <v>76</v>
      </c>
      <c r="D769" t="s">
        <v>80</v>
      </c>
      <c r="E769">
        <v>43</v>
      </c>
      <c r="F769" t="str">
        <f t="shared" si="33"/>
        <v>41 to 50</v>
      </c>
      <c r="G769" t="s">
        <v>101</v>
      </c>
      <c r="H769" t="s">
        <v>59</v>
      </c>
      <c r="I769" t="s">
        <v>39</v>
      </c>
      <c r="J769">
        <v>13</v>
      </c>
      <c r="K769" t="str">
        <f t="shared" si="34"/>
        <v>11 to 20</v>
      </c>
      <c r="L769" s="1">
        <v>100</v>
      </c>
      <c r="M769" t="s">
        <v>2065</v>
      </c>
      <c r="N769" t="s">
        <v>2070</v>
      </c>
      <c r="O769">
        <v>1.4</v>
      </c>
      <c r="P769">
        <v>1</v>
      </c>
      <c r="Q769" t="s">
        <v>2076</v>
      </c>
      <c r="R769">
        <v>0.97</v>
      </c>
      <c r="S769" s="2">
        <v>0.97</v>
      </c>
      <c r="T769" s="2" t="str">
        <f t="shared" si="35"/>
        <v>91% to 100%</v>
      </c>
    </row>
    <row r="770" spans="1:21" x14ac:dyDescent="0.3">
      <c r="A770" t="s">
        <v>1600</v>
      </c>
      <c r="B770" t="s">
        <v>1601</v>
      </c>
      <c r="C770" t="s">
        <v>111</v>
      </c>
      <c r="D770" t="s">
        <v>80</v>
      </c>
      <c r="E770">
        <v>41</v>
      </c>
      <c r="F770" t="str">
        <f t="shared" ref="F770:F833" si="36">IF(OR($E770="",NOT(ISNUMBER($E770))),"",
 IF($E770&lt;=20,"11 to 20",
 IF($E770&lt;=30,"21 to 30",
 IF($E770&lt;=40,"31 to 40",
 IF($E770&lt;=50,"41 to 50",
 IF($E770&lt;=60,"51 to 60"))))))</f>
        <v>41 to 50</v>
      </c>
      <c r="G770" t="s">
        <v>37</v>
      </c>
      <c r="H770" t="s">
        <v>38</v>
      </c>
      <c r="I770" t="s">
        <v>18</v>
      </c>
      <c r="J770">
        <v>4</v>
      </c>
      <c r="K770" t="str">
        <f t="shared" ref="K770:K833" si="37">IF(OR($J770="",NOT(ISNUMBER($J770))),"",
 IF($J770&lt;=10,"0 to 10",
 IF($J770&lt;=20,"11 to 20",
 IF($J770&lt;=30,"21 to 30",
 IF($J770&lt;=40,"31 to 40",
 "40+")))))</f>
        <v>0 to 10</v>
      </c>
      <c r="L770" s="1">
        <v>40</v>
      </c>
      <c r="M770" t="s">
        <v>2067</v>
      </c>
      <c r="O770">
        <v>2.7</v>
      </c>
      <c r="P770">
        <v>1</v>
      </c>
      <c r="Q770" t="s">
        <v>2076</v>
      </c>
      <c r="R770">
        <v>70</v>
      </c>
      <c r="S770" s="2">
        <v>0.7</v>
      </c>
      <c r="T770" s="2" t="str">
        <f t="shared" ref="T770:T833" si="38">IF(OR($S770="",NOT(ISNUMBER($S770))),"",
 IF($S770&lt;=0.6,"50% to 60%",
 IF($S770&lt;=0.7,"61% to 70 %",
 IF($S770&lt;=0.8,"71% to 80%",
 IF($S770&lt;=0.9,"81% to 90%",
 IF($S770&lt;=1,"91% to 100%"))))))</f>
        <v>61% to 70 %</v>
      </c>
      <c r="U770">
        <v>0.7</v>
      </c>
    </row>
    <row r="771" spans="1:21" x14ac:dyDescent="0.3">
      <c r="A771" t="s">
        <v>1602</v>
      </c>
      <c r="B771" t="s">
        <v>1603</v>
      </c>
      <c r="C771" t="s">
        <v>76</v>
      </c>
      <c r="D771" t="s">
        <v>80</v>
      </c>
      <c r="F771" t="str">
        <f t="shared" si="36"/>
        <v/>
      </c>
      <c r="G771" t="s">
        <v>77</v>
      </c>
      <c r="H771" t="s">
        <v>78</v>
      </c>
      <c r="I771" t="s">
        <v>66</v>
      </c>
      <c r="J771">
        <v>12</v>
      </c>
      <c r="K771" t="str">
        <f t="shared" si="37"/>
        <v>11 to 20</v>
      </c>
      <c r="L771" s="1">
        <v>50</v>
      </c>
      <c r="M771" t="s">
        <v>2065</v>
      </c>
      <c r="N771" t="s">
        <v>2071</v>
      </c>
      <c r="O771">
        <v>4.0999999999999996</v>
      </c>
      <c r="P771" t="s">
        <v>96</v>
      </c>
      <c r="Q771" t="s">
        <v>2076</v>
      </c>
      <c r="R771">
        <v>0.62</v>
      </c>
      <c r="S771" s="2">
        <v>0.62</v>
      </c>
      <c r="T771" s="2" t="str">
        <f t="shared" si="38"/>
        <v>61% to 70 %</v>
      </c>
    </row>
    <row r="772" spans="1:21" x14ac:dyDescent="0.3">
      <c r="A772" t="s">
        <v>1604</v>
      </c>
      <c r="B772" t="s">
        <v>1605</v>
      </c>
      <c r="C772" t="s">
        <v>15</v>
      </c>
      <c r="D772" t="s">
        <v>20</v>
      </c>
      <c r="E772">
        <v>54</v>
      </c>
      <c r="F772" t="str">
        <f t="shared" si="36"/>
        <v>51 to 60</v>
      </c>
      <c r="G772" t="s">
        <v>23</v>
      </c>
      <c r="H772" t="s">
        <v>24</v>
      </c>
      <c r="I772" t="s">
        <v>47</v>
      </c>
      <c r="J772">
        <v>21</v>
      </c>
      <c r="K772" t="str">
        <f t="shared" si="37"/>
        <v>21 to 30</v>
      </c>
      <c r="L772" s="1">
        <v>100</v>
      </c>
      <c r="M772" t="s">
        <v>2065</v>
      </c>
      <c r="N772" t="s">
        <v>2070</v>
      </c>
      <c r="O772">
        <v>4.5999999999999996</v>
      </c>
      <c r="P772" t="b">
        <v>0</v>
      </c>
      <c r="Q772" t="s">
        <v>2077</v>
      </c>
      <c r="T772" s="2" t="str">
        <f t="shared" si="38"/>
        <v/>
      </c>
    </row>
    <row r="773" spans="1:21" x14ac:dyDescent="0.3">
      <c r="A773" t="s">
        <v>1606</v>
      </c>
      <c r="B773" t="s">
        <v>1607</v>
      </c>
      <c r="C773" t="s">
        <v>111</v>
      </c>
      <c r="D773" t="s">
        <v>80</v>
      </c>
      <c r="E773">
        <v>37</v>
      </c>
      <c r="F773" t="str">
        <f t="shared" si="36"/>
        <v>31 to 40</v>
      </c>
      <c r="G773" t="s">
        <v>91</v>
      </c>
      <c r="H773" t="s">
        <v>59</v>
      </c>
      <c r="I773" t="s">
        <v>79</v>
      </c>
      <c r="J773">
        <v>0</v>
      </c>
      <c r="K773" t="str">
        <f t="shared" si="37"/>
        <v>0 to 10</v>
      </c>
      <c r="L773" s="1">
        <v>50</v>
      </c>
      <c r="M773" t="s">
        <v>2068</v>
      </c>
      <c r="N773" t="s">
        <v>2071</v>
      </c>
      <c r="O773">
        <v>4.7</v>
      </c>
      <c r="P773">
        <v>0</v>
      </c>
      <c r="Q773" t="s">
        <v>2077</v>
      </c>
      <c r="R773">
        <v>0.77</v>
      </c>
      <c r="S773" s="2">
        <v>0.77</v>
      </c>
      <c r="T773" s="2" t="str">
        <f t="shared" si="38"/>
        <v>71% to 80%</v>
      </c>
    </row>
    <row r="774" spans="1:21" x14ac:dyDescent="0.3">
      <c r="A774" t="s">
        <v>1608</v>
      </c>
      <c r="B774" t="s">
        <v>1609</v>
      </c>
      <c r="C774" t="s">
        <v>76</v>
      </c>
      <c r="D774" t="s">
        <v>80</v>
      </c>
      <c r="E774">
        <v>28</v>
      </c>
      <c r="F774" t="str">
        <f t="shared" si="36"/>
        <v>21 to 30</v>
      </c>
      <c r="G774" t="s">
        <v>91</v>
      </c>
      <c r="H774" t="s">
        <v>59</v>
      </c>
      <c r="I774" t="s">
        <v>18</v>
      </c>
      <c r="J774">
        <v>1</v>
      </c>
      <c r="K774" t="str">
        <f t="shared" si="37"/>
        <v>0 to 10</v>
      </c>
      <c r="L774" s="1">
        <v>75</v>
      </c>
      <c r="M774" t="s">
        <v>2066</v>
      </c>
      <c r="O774">
        <v>2.7</v>
      </c>
      <c r="P774" t="b">
        <v>1</v>
      </c>
      <c r="Q774" t="s">
        <v>2076</v>
      </c>
      <c r="R774">
        <v>0.93</v>
      </c>
      <c r="S774" s="2">
        <v>0.93</v>
      </c>
      <c r="T774" s="2" t="str">
        <f t="shared" si="38"/>
        <v>91% to 100%</v>
      </c>
    </row>
    <row r="775" spans="1:21" x14ac:dyDescent="0.3">
      <c r="A775" t="s">
        <v>1610</v>
      </c>
      <c r="B775" t="s">
        <v>1611</v>
      </c>
      <c r="C775" t="s">
        <v>76</v>
      </c>
      <c r="D775" t="s">
        <v>80</v>
      </c>
      <c r="E775">
        <v>20</v>
      </c>
      <c r="F775" t="str">
        <f t="shared" si="36"/>
        <v>11 to 20</v>
      </c>
      <c r="G775" t="s">
        <v>16</v>
      </c>
      <c r="H775" t="s">
        <v>17</v>
      </c>
      <c r="I775" t="s">
        <v>79</v>
      </c>
      <c r="J775">
        <v>0</v>
      </c>
      <c r="K775" t="str">
        <f t="shared" si="37"/>
        <v>0 to 10</v>
      </c>
      <c r="L775" s="1">
        <v>40</v>
      </c>
      <c r="M775" t="s">
        <v>2067</v>
      </c>
      <c r="O775">
        <v>2.5</v>
      </c>
      <c r="P775">
        <v>0</v>
      </c>
      <c r="Q775" t="s">
        <v>2077</v>
      </c>
      <c r="R775">
        <v>0.79</v>
      </c>
      <c r="S775" s="2">
        <v>0.79</v>
      </c>
      <c r="T775" s="2" t="str">
        <f t="shared" si="38"/>
        <v>71% to 80%</v>
      </c>
    </row>
    <row r="776" spans="1:21" x14ac:dyDescent="0.3">
      <c r="A776" t="s">
        <v>1612</v>
      </c>
      <c r="B776" t="s">
        <v>1613</v>
      </c>
      <c r="C776" t="s">
        <v>76</v>
      </c>
      <c r="D776" t="s">
        <v>80</v>
      </c>
      <c r="E776">
        <v>33</v>
      </c>
      <c r="F776" t="str">
        <f t="shared" si="36"/>
        <v>31 to 40</v>
      </c>
      <c r="G776" t="s">
        <v>27</v>
      </c>
      <c r="H776" t="s">
        <v>28</v>
      </c>
      <c r="I776" t="s">
        <v>52</v>
      </c>
      <c r="J776">
        <v>8</v>
      </c>
      <c r="K776" t="str">
        <f t="shared" si="37"/>
        <v>0 to 10</v>
      </c>
      <c r="L776" s="1">
        <v>30</v>
      </c>
      <c r="M776" t="s">
        <v>2068</v>
      </c>
      <c r="N776" t="s">
        <v>2069</v>
      </c>
      <c r="O776">
        <v>3.6</v>
      </c>
      <c r="P776">
        <v>1</v>
      </c>
      <c r="Q776" t="s">
        <v>2076</v>
      </c>
      <c r="T776" s="2" t="str">
        <f t="shared" si="38"/>
        <v/>
      </c>
    </row>
    <row r="777" spans="1:21" x14ac:dyDescent="0.3">
      <c r="A777" t="s">
        <v>1614</v>
      </c>
      <c r="B777" t="s">
        <v>1615</v>
      </c>
      <c r="C777" t="s">
        <v>111</v>
      </c>
      <c r="D777" t="s">
        <v>80</v>
      </c>
      <c r="E777">
        <v>50</v>
      </c>
      <c r="F777" t="str">
        <f t="shared" si="36"/>
        <v>41 to 50</v>
      </c>
      <c r="G777" t="s">
        <v>188</v>
      </c>
      <c r="H777" t="s">
        <v>189</v>
      </c>
      <c r="I777" t="s">
        <v>52</v>
      </c>
      <c r="J777">
        <v>8</v>
      </c>
      <c r="K777" t="str">
        <f t="shared" si="37"/>
        <v>0 to 10</v>
      </c>
      <c r="L777" s="1">
        <v>50</v>
      </c>
      <c r="M777" t="s">
        <v>2068</v>
      </c>
      <c r="N777" t="s">
        <v>2071</v>
      </c>
      <c r="O777">
        <v>3.7</v>
      </c>
      <c r="P777" t="s">
        <v>96</v>
      </c>
      <c r="Q777" t="s">
        <v>2076</v>
      </c>
      <c r="R777">
        <v>0.82</v>
      </c>
      <c r="S777" s="2">
        <v>0.82</v>
      </c>
      <c r="T777" s="2" t="str">
        <f t="shared" si="38"/>
        <v>81% to 90%</v>
      </c>
    </row>
    <row r="778" spans="1:21" x14ac:dyDescent="0.3">
      <c r="A778" t="s">
        <v>1616</v>
      </c>
      <c r="B778" t="s">
        <v>1617</v>
      </c>
      <c r="C778" t="s">
        <v>76</v>
      </c>
      <c r="D778" t="s">
        <v>80</v>
      </c>
      <c r="E778">
        <v>45</v>
      </c>
      <c r="F778" t="str">
        <f t="shared" si="36"/>
        <v>41 to 50</v>
      </c>
      <c r="G778" t="s">
        <v>83</v>
      </c>
      <c r="H778" t="s">
        <v>84</v>
      </c>
      <c r="I778" t="s">
        <v>79</v>
      </c>
      <c r="J778">
        <v>21</v>
      </c>
      <c r="K778" t="str">
        <f t="shared" si="37"/>
        <v>21 to 30</v>
      </c>
      <c r="L778" s="1">
        <v>30</v>
      </c>
      <c r="M778" t="s">
        <v>2068</v>
      </c>
      <c r="N778" t="s">
        <v>2069</v>
      </c>
      <c r="O778">
        <v>1.5</v>
      </c>
      <c r="P778">
        <v>1</v>
      </c>
      <c r="Q778" t="s">
        <v>2076</v>
      </c>
      <c r="R778">
        <v>0.73</v>
      </c>
      <c r="S778" s="2">
        <v>0.73</v>
      </c>
      <c r="T778" s="2" t="str">
        <f t="shared" si="38"/>
        <v>71% to 80%</v>
      </c>
    </row>
    <row r="779" spans="1:21" x14ac:dyDescent="0.3">
      <c r="A779" t="s">
        <v>1618</v>
      </c>
      <c r="B779" t="s">
        <v>1619</v>
      </c>
      <c r="C779" t="s">
        <v>76</v>
      </c>
      <c r="D779" t="s">
        <v>80</v>
      </c>
      <c r="F779" t="str">
        <f t="shared" si="36"/>
        <v/>
      </c>
      <c r="G779" t="s">
        <v>46</v>
      </c>
      <c r="H779" t="s">
        <v>17</v>
      </c>
      <c r="I779" t="s">
        <v>39</v>
      </c>
      <c r="J779">
        <v>0</v>
      </c>
      <c r="K779" t="str">
        <f t="shared" si="37"/>
        <v>0 to 10</v>
      </c>
      <c r="L779" s="1">
        <v>40</v>
      </c>
      <c r="M779" t="s">
        <v>2067</v>
      </c>
      <c r="P779" t="s">
        <v>96</v>
      </c>
      <c r="Q779" t="s">
        <v>2076</v>
      </c>
      <c r="R779">
        <v>0.74</v>
      </c>
      <c r="S779" s="2">
        <v>0.74</v>
      </c>
      <c r="T779" s="2" t="str">
        <f t="shared" si="38"/>
        <v>71% to 80%</v>
      </c>
    </row>
    <row r="780" spans="1:21" x14ac:dyDescent="0.3">
      <c r="A780" t="s">
        <v>1620</v>
      </c>
      <c r="B780" t="s">
        <v>1621</v>
      </c>
      <c r="C780" t="s">
        <v>15</v>
      </c>
      <c r="D780" t="s">
        <v>20</v>
      </c>
      <c r="E780">
        <v>21</v>
      </c>
      <c r="F780" t="str">
        <f t="shared" si="36"/>
        <v>21 to 30</v>
      </c>
      <c r="G780" t="s">
        <v>42</v>
      </c>
      <c r="H780" t="s">
        <v>43</v>
      </c>
      <c r="I780" t="s">
        <v>79</v>
      </c>
      <c r="J780">
        <v>1</v>
      </c>
      <c r="K780" t="str">
        <f t="shared" si="37"/>
        <v>0 to 10</v>
      </c>
      <c r="L780" s="1">
        <v>75</v>
      </c>
      <c r="M780" t="s">
        <v>2066</v>
      </c>
      <c r="O780">
        <v>4.5999999999999996</v>
      </c>
      <c r="P780">
        <v>0</v>
      </c>
      <c r="Q780" t="s">
        <v>2077</v>
      </c>
      <c r="R780">
        <v>0.92</v>
      </c>
      <c r="S780" s="2">
        <v>0.92</v>
      </c>
      <c r="T780" s="2" t="str">
        <f t="shared" si="38"/>
        <v>91% to 100%</v>
      </c>
    </row>
    <row r="781" spans="1:21" x14ac:dyDescent="0.3">
      <c r="A781" t="s">
        <v>1622</v>
      </c>
      <c r="B781" t="s">
        <v>1623</v>
      </c>
      <c r="C781" t="s">
        <v>36</v>
      </c>
      <c r="D781" t="s">
        <v>20</v>
      </c>
      <c r="E781">
        <v>29</v>
      </c>
      <c r="F781" t="str">
        <f t="shared" si="36"/>
        <v>21 to 30</v>
      </c>
      <c r="G781" t="s">
        <v>16</v>
      </c>
      <c r="H781" t="s">
        <v>17</v>
      </c>
      <c r="I781" t="s">
        <v>33</v>
      </c>
      <c r="J781">
        <v>11</v>
      </c>
      <c r="K781" t="str">
        <f t="shared" si="37"/>
        <v>11 to 20</v>
      </c>
      <c r="L781" s="1">
        <v>20</v>
      </c>
      <c r="M781" t="s">
        <v>2072</v>
      </c>
      <c r="O781">
        <v>2.7</v>
      </c>
      <c r="P781" t="s">
        <v>67</v>
      </c>
      <c r="Q781" t="s">
        <v>2077</v>
      </c>
      <c r="R781">
        <v>0.93</v>
      </c>
      <c r="S781" s="2">
        <v>0.93</v>
      </c>
      <c r="T781" s="2" t="str">
        <f t="shared" si="38"/>
        <v>91% to 100%</v>
      </c>
    </row>
    <row r="782" spans="1:21" x14ac:dyDescent="0.3">
      <c r="A782" t="s">
        <v>1624</v>
      </c>
      <c r="B782" t="s">
        <v>1625</v>
      </c>
      <c r="C782" t="s">
        <v>15</v>
      </c>
      <c r="D782" t="s">
        <v>20</v>
      </c>
      <c r="E782">
        <v>48</v>
      </c>
      <c r="F782" t="str">
        <f t="shared" si="36"/>
        <v>41 to 50</v>
      </c>
      <c r="G782" t="s">
        <v>91</v>
      </c>
      <c r="H782" t="s">
        <v>59</v>
      </c>
      <c r="I782" t="s">
        <v>66</v>
      </c>
      <c r="J782">
        <v>21</v>
      </c>
      <c r="K782" t="str">
        <f t="shared" si="37"/>
        <v>21 to 30</v>
      </c>
      <c r="L782" s="1">
        <v>75</v>
      </c>
      <c r="M782" t="s">
        <v>2066</v>
      </c>
      <c r="O782">
        <v>2.7</v>
      </c>
      <c r="P782">
        <v>1</v>
      </c>
      <c r="Q782" t="s">
        <v>2076</v>
      </c>
      <c r="T782" s="2" t="str">
        <f t="shared" si="38"/>
        <v/>
      </c>
    </row>
    <row r="783" spans="1:21" x14ac:dyDescent="0.3">
      <c r="A783" t="s">
        <v>1626</v>
      </c>
      <c r="B783" t="s">
        <v>1627</v>
      </c>
      <c r="C783" t="s">
        <v>36</v>
      </c>
      <c r="D783" t="s">
        <v>20</v>
      </c>
      <c r="E783">
        <v>21</v>
      </c>
      <c r="F783" t="str">
        <f t="shared" si="36"/>
        <v>21 to 30</v>
      </c>
      <c r="G783" t="s">
        <v>104</v>
      </c>
      <c r="H783" t="s">
        <v>105</v>
      </c>
      <c r="I783" t="s">
        <v>66</v>
      </c>
      <c r="J783">
        <v>0</v>
      </c>
      <c r="K783" t="str">
        <f t="shared" si="37"/>
        <v>0 to 10</v>
      </c>
      <c r="L783" s="1">
        <v>40</v>
      </c>
      <c r="M783" t="s">
        <v>2065</v>
      </c>
      <c r="N783" t="s">
        <v>2067</v>
      </c>
      <c r="O783">
        <v>4.0999999999999996</v>
      </c>
      <c r="P783" t="s">
        <v>96</v>
      </c>
      <c r="Q783" t="s">
        <v>2076</v>
      </c>
      <c r="R783">
        <v>0.97</v>
      </c>
      <c r="S783" s="2">
        <v>0.97</v>
      </c>
      <c r="T783" s="2" t="str">
        <f t="shared" si="38"/>
        <v>91% to 100%</v>
      </c>
    </row>
    <row r="784" spans="1:21" x14ac:dyDescent="0.3">
      <c r="A784" t="s">
        <v>1628</v>
      </c>
      <c r="B784" t="s">
        <v>1629</v>
      </c>
      <c r="C784" t="s">
        <v>15</v>
      </c>
      <c r="D784" t="s">
        <v>20</v>
      </c>
      <c r="E784">
        <v>46</v>
      </c>
      <c r="F784" t="str">
        <f t="shared" si="36"/>
        <v>41 to 50</v>
      </c>
      <c r="G784" t="s">
        <v>188</v>
      </c>
      <c r="H784" t="s">
        <v>189</v>
      </c>
      <c r="I784" t="s">
        <v>63</v>
      </c>
      <c r="J784">
        <v>6</v>
      </c>
      <c r="K784" t="str">
        <f t="shared" si="37"/>
        <v>0 to 10</v>
      </c>
      <c r="L784" s="1">
        <v>30</v>
      </c>
      <c r="M784" t="s">
        <v>2069</v>
      </c>
      <c r="O784">
        <v>1.5</v>
      </c>
      <c r="P784" t="s">
        <v>53</v>
      </c>
      <c r="Q784" t="s">
        <v>2077</v>
      </c>
      <c r="T784" s="2" t="str">
        <f t="shared" si="38"/>
        <v/>
      </c>
    </row>
    <row r="785" spans="1:20" x14ac:dyDescent="0.3">
      <c r="A785" t="s">
        <v>1630</v>
      </c>
      <c r="B785" t="s">
        <v>1631</v>
      </c>
      <c r="C785" t="s">
        <v>15</v>
      </c>
      <c r="D785" t="s">
        <v>20</v>
      </c>
      <c r="E785">
        <v>53</v>
      </c>
      <c r="F785" t="str">
        <f t="shared" si="36"/>
        <v>51 to 60</v>
      </c>
      <c r="G785" t="s">
        <v>158</v>
      </c>
      <c r="H785" t="s">
        <v>159</v>
      </c>
      <c r="I785" t="s">
        <v>63</v>
      </c>
      <c r="J785">
        <v>21</v>
      </c>
      <c r="K785" t="str">
        <f t="shared" si="37"/>
        <v>21 to 30</v>
      </c>
      <c r="L785" s="1">
        <v>100</v>
      </c>
      <c r="M785" t="s">
        <v>2068</v>
      </c>
      <c r="N785" t="s">
        <v>2070</v>
      </c>
      <c r="P785" t="s">
        <v>96</v>
      </c>
      <c r="Q785" t="s">
        <v>2076</v>
      </c>
      <c r="R785">
        <v>0.97</v>
      </c>
      <c r="S785" s="2">
        <v>0.97</v>
      </c>
      <c r="T785" s="2" t="str">
        <f t="shared" si="38"/>
        <v>91% to 100%</v>
      </c>
    </row>
    <row r="786" spans="1:20" x14ac:dyDescent="0.3">
      <c r="A786" t="s">
        <v>1632</v>
      </c>
      <c r="B786" t="s">
        <v>1633</v>
      </c>
      <c r="C786" t="s">
        <v>36</v>
      </c>
      <c r="D786" t="s">
        <v>20</v>
      </c>
      <c r="E786">
        <v>40</v>
      </c>
      <c r="F786" t="str">
        <f t="shared" si="36"/>
        <v>31 to 40</v>
      </c>
      <c r="G786" t="s">
        <v>23</v>
      </c>
      <c r="H786" t="s">
        <v>24</v>
      </c>
      <c r="I786" t="s">
        <v>108</v>
      </c>
      <c r="J786">
        <v>13</v>
      </c>
      <c r="K786" t="str">
        <f t="shared" si="37"/>
        <v>11 to 20</v>
      </c>
      <c r="L786" s="1">
        <v>100</v>
      </c>
      <c r="M786" t="s">
        <v>2068</v>
      </c>
      <c r="N786" t="s">
        <v>2070</v>
      </c>
      <c r="O786">
        <v>1.1000000000000001</v>
      </c>
      <c r="P786">
        <v>1</v>
      </c>
      <c r="Q786" t="s">
        <v>2076</v>
      </c>
      <c r="T786" s="2" t="str">
        <f t="shared" si="38"/>
        <v/>
      </c>
    </row>
    <row r="787" spans="1:20" x14ac:dyDescent="0.3">
      <c r="A787" t="s">
        <v>1634</v>
      </c>
      <c r="B787" t="s">
        <v>1635</v>
      </c>
      <c r="C787" t="s">
        <v>76</v>
      </c>
      <c r="D787" t="s">
        <v>80</v>
      </c>
      <c r="E787">
        <v>28</v>
      </c>
      <c r="F787" t="str">
        <f t="shared" si="36"/>
        <v>21 to 30</v>
      </c>
      <c r="G787" t="s">
        <v>77</v>
      </c>
      <c r="H787" t="s">
        <v>78</v>
      </c>
      <c r="I787" t="s">
        <v>52</v>
      </c>
      <c r="J787">
        <v>9</v>
      </c>
      <c r="K787" t="str">
        <f t="shared" si="37"/>
        <v>0 to 10</v>
      </c>
      <c r="L787" s="1">
        <v>40</v>
      </c>
      <c r="M787" t="s">
        <v>2067</v>
      </c>
      <c r="P787">
        <v>1</v>
      </c>
      <c r="Q787" t="s">
        <v>2076</v>
      </c>
      <c r="R787">
        <v>0.64</v>
      </c>
      <c r="S787" s="2">
        <v>0.64</v>
      </c>
      <c r="T787" s="2" t="str">
        <f t="shared" si="38"/>
        <v>61% to 70 %</v>
      </c>
    </row>
    <row r="788" spans="1:20" x14ac:dyDescent="0.3">
      <c r="A788" t="s">
        <v>1636</v>
      </c>
      <c r="B788" t="s">
        <v>1637</v>
      </c>
      <c r="C788" t="s">
        <v>76</v>
      </c>
      <c r="D788" t="s">
        <v>80</v>
      </c>
      <c r="E788">
        <v>45</v>
      </c>
      <c r="F788" t="str">
        <f t="shared" si="36"/>
        <v>41 to 50</v>
      </c>
      <c r="G788" t="s">
        <v>31</v>
      </c>
      <c r="H788" t="s">
        <v>32</v>
      </c>
      <c r="I788" t="s">
        <v>18</v>
      </c>
      <c r="J788">
        <v>22</v>
      </c>
      <c r="K788" t="str">
        <f t="shared" si="37"/>
        <v>21 to 30</v>
      </c>
      <c r="L788" s="1">
        <v>100</v>
      </c>
      <c r="M788" t="s">
        <v>2065</v>
      </c>
      <c r="N788" t="s">
        <v>2070</v>
      </c>
      <c r="O788">
        <v>4</v>
      </c>
      <c r="P788" t="s">
        <v>96</v>
      </c>
      <c r="Q788" t="s">
        <v>2076</v>
      </c>
      <c r="R788">
        <v>0.75</v>
      </c>
      <c r="S788" s="2">
        <v>0.75</v>
      </c>
      <c r="T788" s="2" t="str">
        <f t="shared" si="38"/>
        <v>71% to 80%</v>
      </c>
    </row>
    <row r="789" spans="1:20" x14ac:dyDescent="0.3">
      <c r="A789" t="s">
        <v>1638</v>
      </c>
      <c r="B789" t="s">
        <v>1639</v>
      </c>
      <c r="C789" t="s">
        <v>36</v>
      </c>
      <c r="D789" t="s">
        <v>20</v>
      </c>
      <c r="E789">
        <v>46</v>
      </c>
      <c r="F789" t="str">
        <f t="shared" si="36"/>
        <v>41 to 50</v>
      </c>
      <c r="G789" t="s">
        <v>91</v>
      </c>
      <c r="H789" t="s">
        <v>59</v>
      </c>
      <c r="I789" t="s">
        <v>63</v>
      </c>
      <c r="J789">
        <v>5</v>
      </c>
      <c r="K789" t="str">
        <f t="shared" si="37"/>
        <v>0 to 10</v>
      </c>
      <c r="L789" s="1">
        <v>20</v>
      </c>
      <c r="M789" t="s">
        <v>2072</v>
      </c>
      <c r="O789">
        <v>2.2000000000000002</v>
      </c>
      <c r="P789" t="b">
        <v>0</v>
      </c>
      <c r="Q789" t="s">
        <v>2077</v>
      </c>
      <c r="R789">
        <v>0.75</v>
      </c>
      <c r="S789" s="2">
        <v>0.75</v>
      </c>
      <c r="T789" s="2" t="str">
        <f t="shared" si="38"/>
        <v>71% to 80%</v>
      </c>
    </row>
    <row r="790" spans="1:20" x14ac:dyDescent="0.3">
      <c r="A790" t="s">
        <v>1640</v>
      </c>
      <c r="B790" t="s">
        <v>1641</v>
      </c>
      <c r="C790" t="s">
        <v>15</v>
      </c>
      <c r="D790" t="s">
        <v>20</v>
      </c>
      <c r="E790">
        <v>50</v>
      </c>
      <c r="F790" t="str">
        <f t="shared" si="36"/>
        <v>41 to 50</v>
      </c>
      <c r="G790" t="s">
        <v>27</v>
      </c>
      <c r="H790" t="s">
        <v>28</v>
      </c>
      <c r="I790" t="s">
        <v>66</v>
      </c>
      <c r="J790">
        <v>32</v>
      </c>
      <c r="K790" t="str">
        <f t="shared" si="37"/>
        <v>31 to 40</v>
      </c>
      <c r="L790" s="1">
        <v>30</v>
      </c>
      <c r="M790" t="s">
        <v>2065</v>
      </c>
      <c r="N790" t="s">
        <v>2069</v>
      </c>
      <c r="P790">
        <v>0</v>
      </c>
      <c r="Q790" t="s">
        <v>2077</v>
      </c>
      <c r="R790">
        <v>0.64</v>
      </c>
      <c r="S790" s="2">
        <v>0.64</v>
      </c>
      <c r="T790" s="2" t="str">
        <f t="shared" si="38"/>
        <v>61% to 70 %</v>
      </c>
    </row>
    <row r="791" spans="1:20" x14ac:dyDescent="0.3">
      <c r="A791" t="s">
        <v>1642</v>
      </c>
      <c r="B791" t="s">
        <v>1643</v>
      </c>
      <c r="C791" t="s">
        <v>15</v>
      </c>
      <c r="D791" t="s">
        <v>20</v>
      </c>
      <c r="E791">
        <v>38</v>
      </c>
      <c r="F791" t="str">
        <f t="shared" si="36"/>
        <v>31 to 40</v>
      </c>
      <c r="G791" t="s">
        <v>46</v>
      </c>
      <c r="H791" t="s">
        <v>17</v>
      </c>
      <c r="I791" t="s">
        <v>79</v>
      </c>
      <c r="J791">
        <v>20</v>
      </c>
      <c r="K791" t="str">
        <f t="shared" si="37"/>
        <v>11 to 20</v>
      </c>
      <c r="L791" s="1">
        <v>75</v>
      </c>
      <c r="M791" t="s">
        <v>2068</v>
      </c>
      <c r="N791" t="s">
        <v>2066</v>
      </c>
      <c r="O791">
        <v>2.9</v>
      </c>
      <c r="P791">
        <v>1</v>
      </c>
      <c r="Q791" t="s">
        <v>2076</v>
      </c>
      <c r="R791">
        <v>0.93</v>
      </c>
      <c r="S791" s="2">
        <v>0.93</v>
      </c>
      <c r="T791" s="2" t="str">
        <f t="shared" si="38"/>
        <v>91% to 100%</v>
      </c>
    </row>
    <row r="792" spans="1:20" x14ac:dyDescent="0.3">
      <c r="A792" t="s">
        <v>1644</v>
      </c>
      <c r="B792" t="s">
        <v>1645</v>
      </c>
      <c r="C792" t="s">
        <v>76</v>
      </c>
      <c r="D792" t="s">
        <v>80</v>
      </c>
      <c r="F792" t="str">
        <f t="shared" si="36"/>
        <v/>
      </c>
      <c r="G792" t="s">
        <v>58</v>
      </c>
      <c r="H792" t="s">
        <v>59</v>
      </c>
      <c r="I792" t="s">
        <v>63</v>
      </c>
      <c r="J792">
        <v>0</v>
      </c>
      <c r="K792" t="str">
        <f t="shared" si="37"/>
        <v>0 to 10</v>
      </c>
      <c r="L792" s="1">
        <v>20</v>
      </c>
      <c r="M792" t="s">
        <v>2068</v>
      </c>
      <c r="N792" t="s">
        <v>2072</v>
      </c>
      <c r="O792">
        <v>4.8</v>
      </c>
      <c r="P792">
        <v>0</v>
      </c>
      <c r="Q792" t="s">
        <v>2077</v>
      </c>
      <c r="R792">
        <v>0.74</v>
      </c>
      <c r="S792" s="2">
        <v>0.74</v>
      </c>
      <c r="T792" s="2" t="str">
        <f t="shared" si="38"/>
        <v>71% to 80%</v>
      </c>
    </row>
    <row r="793" spans="1:20" x14ac:dyDescent="0.3">
      <c r="A793" t="s">
        <v>1646</v>
      </c>
      <c r="B793" t="s">
        <v>1647</v>
      </c>
      <c r="C793" t="s">
        <v>76</v>
      </c>
      <c r="D793" t="s">
        <v>80</v>
      </c>
      <c r="E793">
        <v>52</v>
      </c>
      <c r="F793" t="str">
        <f t="shared" si="36"/>
        <v>51 to 60</v>
      </c>
      <c r="G793" t="s">
        <v>42</v>
      </c>
      <c r="H793" t="s">
        <v>43</v>
      </c>
      <c r="I793" t="s">
        <v>63</v>
      </c>
      <c r="J793">
        <v>30</v>
      </c>
      <c r="K793" t="str">
        <f t="shared" si="37"/>
        <v>21 to 30</v>
      </c>
      <c r="L793" s="1">
        <v>75</v>
      </c>
      <c r="M793" t="s">
        <v>2066</v>
      </c>
      <c r="P793" t="s">
        <v>67</v>
      </c>
      <c r="Q793" t="s">
        <v>2077</v>
      </c>
      <c r="R793">
        <v>0.94</v>
      </c>
      <c r="S793" s="2">
        <v>0.94</v>
      </c>
      <c r="T793" s="2" t="str">
        <f t="shared" si="38"/>
        <v>91% to 100%</v>
      </c>
    </row>
    <row r="794" spans="1:20" x14ac:dyDescent="0.3">
      <c r="A794" t="s">
        <v>1648</v>
      </c>
      <c r="B794" t="s">
        <v>1649</v>
      </c>
      <c r="C794" t="s">
        <v>76</v>
      </c>
      <c r="D794" t="s">
        <v>80</v>
      </c>
      <c r="E794">
        <v>56</v>
      </c>
      <c r="F794" t="str">
        <f t="shared" si="36"/>
        <v>51 to 60</v>
      </c>
      <c r="G794" t="s">
        <v>254</v>
      </c>
      <c r="H794" t="s">
        <v>255</v>
      </c>
      <c r="I794" t="s">
        <v>52</v>
      </c>
      <c r="J794">
        <v>37</v>
      </c>
      <c r="K794" t="str">
        <f t="shared" si="37"/>
        <v>31 to 40</v>
      </c>
      <c r="L794" s="1">
        <v>40</v>
      </c>
      <c r="M794" t="s">
        <v>2067</v>
      </c>
      <c r="O794">
        <v>0</v>
      </c>
      <c r="P794" t="s">
        <v>53</v>
      </c>
      <c r="Q794" t="s">
        <v>2077</v>
      </c>
      <c r="R794">
        <v>0.7</v>
      </c>
      <c r="S794" s="2">
        <v>0.7</v>
      </c>
      <c r="T794" s="2" t="str">
        <f t="shared" si="38"/>
        <v>61% to 70 %</v>
      </c>
    </row>
    <row r="795" spans="1:20" x14ac:dyDescent="0.3">
      <c r="A795" t="s">
        <v>1650</v>
      </c>
      <c r="B795" t="s">
        <v>1651</v>
      </c>
      <c r="C795" t="s">
        <v>15</v>
      </c>
      <c r="D795" t="s">
        <v>20</v>
      </c>
      <c r="E795">
        <v>26</v>
      </c>
      <c r="F795" t="str">
        <f t="shared" si="36"/>
        <v>21 to 30</v>
      </c>
      <c r="G795" t="s">
        <v>104</v>
      </c>
      <c r="H795" t="s">
        <v>105</v>
      </c>
      <c r="I795" t="s">
        <v>108</v>
      </c>
      <c r="J795">
        <v>6</v>
      </c>
      <c r="K795" t="str">
        <f t="shared" si="37"/>
        <v>0 to 10</v>
      </c>
      <c r="L795" s="1">
        <v>40</v>
      </c>
      <c r="M795" t="s">
        <v>2065</v>
      </c>
      <c r="N795" t="s">
        <v>2067</v>
      </c>
      <c r="O795">
        <v>1.3</v>
      </c>
      <c r="P795">
        <v>0</v>
      </c>
      <c r="Q795" t="s">
        <v>2077</v>
      </c>
      <c r="T795" s="2" t="str">
        <f t="shared" si="38"/>
        <v/>
      </c>
    </row>
    <row r="796" spans="1:20" x14ac:dyDescent="0.3">
      <c r="A796" t="s">
        <v>1652</v>
      </c>
      <c r="B796" t="s">
        <v>1653</v>
      </c>
      <c r="C796" t="s">
        <v>15</v>
      </c>
      <c r="D796" t="s">
        <v>20</v>
      </c>
      <c r="E796">
        <v>29</v>
      </c>
      <c r="F796" t="str">
        <f t="shared" si="36"/>
        <v>21 to 30</v>
      </c>
      <c r="G796" t="s">
        <v>27</v>
      </c>
      <c r="H796" t="s">
        <v>28</v>
      </c>
      <c r="I796" t="s">
        <v>79</v>
      </c>
      <c r="J796">
        <v>2</v>
      </c>
      <c r="K796" t="str">
        <f t="shared" si="37"/>
        <v>0 to 10</v>
      </c>
      <c r="L796" s="1">
        <v>75</v>
      </c>
      <c r="M796" t="s">
        <v>2068</v>
      </c>
      <c r="N796" t="s">
        <v>2066</v>
      </c>
      <c r="O796">
        <v>2.2000000000000002</v>
      </c>
      <c r="P796" t="s">
        <v>96</v>
      </c>
      <c r="Q796" t="s">
        <v>2076</v>
      </c>
      <c r="R796">
        <v>0.85</v>
      </c>
      <c r="S796" s="2">
        <v>0.85</v>
      </c>
      <c r="T796" s="2" t="str">
        <f t="shared" si="38"/>
        <v>81% to 90%</v>
      </c>
    </row>
    <row r="797" spans="1:20" x14ac:dyDescent="0.3">
      <c r="A797" t="s">
        <v>1654</v>
      </c>
      <c r="B797" t="s">
        <v>1655</v>
      </c>
      <c r="C797" t="s">
        <v>36</v>
      </c>
      <c r="D797" t="s">
        <v>20</v>
      </c>
      <c r="E797">
        <v>43</v>
      </c>
      <c r="F797" t="str">
        <f t="shared" si="36"/>
        <v>41 to 50</v>
      </c>
      <c r="G797" t="s">
        <v>16</v>
      </c>
      <c r="H797" t="s">
        <v>17</v>
      </c>
      <c r="I797" t="s">
        <v>18</v>
      </c>
      <c r="J797">
        <v>4</v>
      </c>
      <c r="K797" t="str">
        <f t="shared" si="37"/>
        <v>0 to 10</v>
      </c>
      <c r="L797" s="1">
        <v>50</v>
      </c>
      <c r="M797" t="s">
        <v>2071</v>
      </c>
      <c r="O797">
        <v>0</v>
      </c>
      <c r="P797" t="b">
        <v>1</v>
      </c>
      <c r="Q797" t="s">
        <v>2076</v>
      </c>
      <c r="R797">
        <v>1</v>
      </c>
      <c r="S797" s="2">
        <v>1</v>
      </c>
      <c r="T797" s="2" t="str">
        <f t="shared" si="38"/>
        <v>91% to 100%</v>
      </c>
    </row>
    <row r="798" spans="1:20" x14ac:dyDescent="0.3">
      <c r="A798" t="s">
        <v>1656</v>
      </c>
      <c r="B798" t="s">
        <v>1657</v>
      </c>
      <c r="C798" t="s">
        <v>111</v>
      </c>
      <c r="D798" t="s">
        <v>80</v>
      </c>
      <c r="E798">
        <v>58</v>
      </c>
      <c r="F798" t="str">
        <f t="shared" si="36"/>
        <v>51 to 60</v>
      </c>
      <c r="G798" t="s">
        <v>91</v>
      </c>
      <c r="H798" t="s">
        <v>59</v>
      </c>
      <c r="I798" t="s">
        <v>60</v>
      </c>
      <c r="J798">
        <v>20</v>
      </c>
      <c r="K798" t="str">
        <f t="shared" si="37"/>
        <v>11 to 20</v>
      </c>
      <c r="L798" s="1">
        <v>75</v>
      </c>
      <c r="M798" t="s">
        <v>2066</v>
      </c>
      <c r="O798">
        <v>3.6</v>
      </c>
      <c r="P798" t="s">
        <v>19</v>
      </c>
      <c r="Q798" t="s">
        <v>2076</v>
      </c>
      <c r="R798">
        <v>0.78</v>
      </c>
      <c r="S798" s="2">
        <v>0.78</v>
      </c>
      <c r="T798" s="2" t="str">
        <f t="shared" si="38"/>
        <v>71% to 80%</v>
      </c>
    </row>
    <row r="799" spans="1:20" x14ac:dyDescent="0.3">
      <c r="A799" t="s">
        <v>1658</v>
      </c>
      <c r="B799" t="s">
        <v>1659</v>
      </c>
      <c r="C799" t="s">
        <v>76</v>
      </c>
      <c r="D799" t="s">
        <v>80</v>
      </c>
      <c r="E799">
        <v>43</v>
      </c>
      <c r="F799" t="str">
        <f t="shared" si="36"/>
        <v>41 to 50</v>
      </c>
      <c r="G799" t="s">
        <v>254</v>
      </c>
      <c r="H799" t="s">
        <v>255</v>
      </c>
      <c r="I799" t="s">
        <v>33</v>
      </c>
      <c r="J799">
        <v>9</v>
      </c>
      <c r="K799" t="str">
        <f t="shared" si="37"/>
        <v>0 to 10</v>
      </c>
      <c r="L799" s="1">
        <v>20</v>
      </c>
      <c r="M799" t="s">
        <v>2065</v>
      </c>
      <c r="N799" t="s">
        <v>2072</v>
      </c>
      <c r="O799">
        <v>2.2000000000000002</v>
      </c>
      <c r="P799" t="s">
        <v>53</v>
      </c>
      <c r="Q799" t="s">
        <v>2077</v>
      </c>
      <c r="T799" s="2" t="str">
        <f t="shared" si="38"/>
        <v/>
      </c>
    </row>
    <row r="800" spans="1:20" x14ac:dyDescent="0.3">
      <c r="A800" t="s">
        <v>1660</v>
      </c>
      <c r="B800" t="s">
        <v>1661</v>
      </c>
      <c r="C800" t="s">
        <v>76</v>
      </c>
      <c r="D800" t="s">
        <v>80</v>
      </c>
      <c r="E800">
        <v>21</v>
      </c>
      <c r="F800" t="str">
        <f t="shared" si="36"/>
        <v>21 to 30</v>
      </c>
      <c r="G800" t="s">
        <v>46</v>
      </c>
      <c r="H800" t="s">
        <v>17</v>
      </c>
      <c r="I800" t="s">
        <v>39</v>
      </c>
      <c r="J800">
        <v>1</v>
      </c>
      <c r="K800" t="str">
        <f t="shared" si="37"/>
        <v>0 to 10</v>
      </c>
      <c r="L800" s="1">
        <v>20</v>
      </c>
      <c r="M800" t="s">
        <v>2068</v>
      </c>
      <c r="N800" t="s">
        <v>2072</v>
      </c>
      <c r="P800" t="b">
        <v>0</v>
      </c>
      <c r="Q800" t="s">
        <v>2077</v>
      </c>
      <c r="R800">
        <v>0.99</v>
      </c>
      <c r="S800" s="2">
        <v>0.99</v>
      </c>
      <c r="T800" s="2" t="str">
        <f t="shared" si="38"/>
        <v>91% to 100%</v>
      </c>
    </row>
    <row r="801" spans="1:20" x14ac:dyDescent="0.3">
      <c r="A801" t="s">
        <v>1662</v>
      </c>
      <c r="B801" t="s">
        <v>1663</v>
      </c>
      <c r="C801" t="s">
        <v>111</v>
      </c>
      <c r="D801" t="s">
        <v>80</v>
      </c>
      <c r="E801">
        <v>50</v>
      </c>
      <c r="F801" t="str">
        <f t="shared" si="36"/>
        <v>41 to 50</v>
      </c>
      <c r="G801" t="s">
        <v>50</v>
      </c>
      <c r="H801" t="s">
        <v>51</v>
      </c>
      <c r="I801" t="s">
        <v>108</v>
      </c>
      <c r="J801">
        <v>14</v>
      </c>
      <c r="K801" t="str">
        <f t="shared" si="37"/>
        <v>11 to 20</v>
      </c>
      <c r="O801">
        <v>3.5</v>
      </c>
      <c r="P801" t="s">
        <v>96</v>
      </c>
      <c r="Q801" t="s">
        <v>2076</v>
      </c>
      <c r="R801">
        <v>0.83</v>
      </c>
      <c r="S801" s="2">
        <v>0.83</v>
      </c>
      <c r="T801" s="2" t="str">
        <f t="shared" si="38"/>
        <v>81% to 90%</v>
      </c>
    </row>
    <row r="802" spans="1:20" x14ac:dyDescent="0.3">
      <c r="A802" t="s">
        <v>1664</v>
      </c>
      <c r="B802" t="s">
        <v>1665</v>
      </c>
      <c r="C802" t="s">
        <v>111</v>
      </c>
      <c r="D802" t="s">
        <v>80</v>
      </c>
      <c r="E802">
        <v>24</v>
      </c>
      <c r="F802" t="str">
        <f t="shared" si="36"/>
        <v>21 to 30</v>
      </c>
      <c r="G802" t="s">
        <v>23</v>
      </c>
      <c r="H802" t="s">
        <v>24</v>
      </c>
      <c r="I802" t="s">
        <v>108</v>
      </c>
      <c r="J802">
        <v>3</v>
      </c>
      <c r="K802" t="str">
        <f t="shared" si="37"/>
        <v>0 to 10</v>
      </c>
      <c r="L802" s="1">
        <v>20</v>
      </c>
      <c r="M802" t="s">
        <v>2072</v>
      </c>
      <c r="O802">
        <v>0</v>
      </c>
      <c r="P802">
        <v>1</v>
      </c>
      <c r="Q802" t="s">
        <v>2076</v>
      </c>
      <c r="T802" s="2" t="str">
        <f t="shared" si="38"/>
        <v/>
      </c>
    </row>
    <row r="803" spans="1:20" x14ac:dyDescent="0.3">
      <c r="A803" t="s">
        <v>1666</v>
      </c>
      <c r="B803" t="s">
        <v>1667</v>
      </c>
      <c r="C803" t="s">
        <v>76</v>
      </c>
      <c r="D803" t="s">
        <v>80</v>
      </c>
      <c r="E803">
        <v>49</v>
      </c>
      <c r="F803" t="str">
        <f t="shared" si="36"/>
        <v>41 to 50</v>
      </c>
      <c r="G803" t="s">
        <v>158</v>
      </c>
      <c r="H803" t="s">
        <v>159</v>
      </c>
      <c r="I803" t="s">
        <v>66</v>
      </c>
      <c r="J803">
        <v>20</v>
      </c>
      <c r="K803" t="str">
        <f t="shared" si="37"/>
        <v>11 to 20</v>
      </c>
      <c r="L803" s="1">
        <v>50</v>
      </c>
      <c r="M803" t="s">
        <v>2071</v>
      </c>
      <c r="O803">
        <v>2.5</v>
      </c>
      <c r="P803">
        <v>0</v>
      </c>
      <c r="Q803" t="s">
        <v>2077</v>
      </c>
      <c r="R803">
        <v>0.82</v>
      </c>
      <c r="S803" s="2">
        <v>0.82</v>
      </c>
      <c r="T803" s="2" t="str">
        <f t="shared" si="38"/>
        <v>81% to 90%</v>
      </c>
    </row>
    <row r="804" spans="1:20" x14ac:dyDescent="0.3">
      <c r="A804" t="s">
        <v>1668</v>
      </c>
      <c r="B804" t="s">
        <v>1669</v>
      </c>
      <c r="C804" t="s">
        <v>36</v>
      </c>
      <c r="D804" t="s">
        <v>20</v>
      </c>
      <c r="E804">
        <v>54</v>
      </c>
      <c r="F804" t="str">
        <f t="shared" si="36"/>
        <v>51 to 60</v>
      </c>
      <c r="G804" t="s">
        <v>31</v>
      </c>
      <c r="H804" t="s">
        <v>32</v>
      </c>
      <c r="I804" t="s">
        <v>52</v>
      </c>
      <c r="J804">
        <v>17</v>
      </c>
      <c r="K804" t="str">
        <f t="shared" si="37"/>
        <v>11 to 20</v>
      </c>
      <c r="L804" s="1">
        <v>100</v>
      </c>
      <c r="M804" t="s">
        <v>2065</v>
      </c>
      <c r="N804" t="s">
        <v>2070</v>
      </c>
      <c r="O804">
        <v>0</v>
      </c>
      <c r="P804">
        <v>0</v>
      </c>
      <c r="Q804" t="s">
        <v>2077</v>
      </c>
      <c r="R804">
        <v>0.71</v>
      </c>
      <c r="S804" s="2">
        <v>0.71</v>
      </c>
      <c r="T804" s="2" t="str">
        <f t="shared" si="38"/>
        <v>71% to 80%</v>
      </c>
    </row>
    <row r="805" spans="1:20" x14ac:dyDescent="0.3">
      <c r="A805" t="s">
        <v>1670</v>
      </c>
      <c r="B805" t="s">
        <v>1671</v>
      </c>
      <c r="C805" t="s">
        <v>111</v>
      </c>
      <c r="D805" t="s">
        <v>80</v>
      </c>
      <c r="E805">
        <v>39</v>
      </c>
      <c r="F805" t="str">
        <f t="shared" si="36"/>
        <v>31 to 40</v>
      </c>
      <c r="G805" t="s">
        <v>155</v>
      </c>
      <c r="H805" t="s">
        <v>17</v>
      </c>
      <c r="I805" t="s">
        <v>18</v>
      </c>
      <c r="J805">
        <v>21</v>
      </c>
      <c r="K805" t="str">
        <f t="shared" si="37"/>
        <v>21 to 30</v>
      </c>
      <c r="L805" s="1">
        <v>30</v>
      </c>
      <c r="M805" t="s">
        <v>2069</v>
      </c>
      <c r="O805">
        <v>4.7</v>
      </c>
      <c r="P805" t="b">
        <v>0</v>
      </c>
      <c r="Q805" t="s">
        <v>2077</v>
      </c>
      <c r="R805">
        <v>0.61</v>
      </c>
      <c r="S805" s="2">
        <v>0.61</v>
      </c>
      <c r="T805" s="2" t="str">
        <f t="shared" si="38"/>
        <v>61% to 70 %</v>
      </c>
    </row>
    <row r="806" spans="1:20" x14ac:dyDescent="0.3">
      <c r="A806" t="s">
        <v>1672</v>
      </c>
      <c r="B806" t="s">
        <v>1673</v>
      </c>
      <c r="C806" t="s">
        <v>76</v>
      </c>
      <c r="D806" t="s">
        <v>80</v>
      </c>
      <c r="E806">
        <v>48</v>
      </c>
      <c r="F806" t="str">
        <f t="shared" si="36"/>
        <v>41 to 50</v>
      </c>
      <c r="G806" t="s">
        <v>101</v>
      </c>
      <c r="H806" t="s">
        <v>59</v>
      </c>
      <c r="I806" t="s">
        <v>60</v>
      </c>
      <c r="J806">
        <v>5</v>
      </c>
      <c r="K806" t="str">
        <f t="shared" si="37"/>
        <v>0 to 10</v>
      </c>
      <c r="L806" s="1">
        <v>100</v>
      </c>
      <c r="M806" t="s">
        <v>2065</v>
      </c>
      <c r="N806" t="s">
        <v>2070</v>
      </c>
      <c r="O806">
        <v>1.8</v>
      </c>
      <c r="P806" t="b">
        <v>1</v>
      </c>
      <c r="Q806" t="s">
        <v>2076</v>
      </c>
      <c r="R806">
        <v>0.97</v>
      </c>
      <c r="S806" s="2">
        <v>0.97</v>
      </c>
      <c r="T806" s="2" t="str">
        <f t="shared" si="38"/>
        <v>91% to 100%</v>
      </c>
    </row>
    <row r="807" spans="1:20" x14ac:dyDescent="0.3">
      <c r="A807" t="s">
        <v>1674</v>
      </c>
      <c r="B807" t="s">
        <v>1675</v>
      </c>
      <c r="C807" t="s">
        <v>111</v>
      </c>
      <c r="D807" t="s">
        <v>80</v>
      </c>
      <c r="E807">
        <v>57</v>
      </c>
      <c r="F807" t="str">
        <f t="shared" si="36"/>
        <v>51 to 60</v>
      </c>
      <c r="G807" t="s">
        <v>101</v>
      </c>
      <c r="H807" t="s">
        <v>59</v>
      </c>
      <c r="I807" t="s">
        <v>108</v>
      </c>
      <c r="J807">
        <v>5</v>
      </c>
      <c r="K807" t="str">
        <f t="shared" si="37"/>
        <v>0 to 10</v>
      </c>
      <c r="L807" s="1">
        <v>100</v>
      </c>
      <c r="M807" t="s">
        <v>2068</v>
      </c>
      <c r="N807" t="s">
        <v>2070</v>
      </c>
      <c r="O807">
        <v>0</v>
      </c>
      <c r="P807">
        <v>1</v>
      </c>
      <c r="Q807" t="s">
        <v>2076</v>
      </c>
      <c r="R807">
        <v>0.8</v>
      </c>
      <c r="S807" s="2">
        <v>0.8</v>
      </c>
      <c r="T807" s="2" t="str">
        <f t="shared" si="38"/>
        <v>71% to 80%</v>
      </c>
    </row>
    <row r="808" spans="1:20" x14ac:dyDescent="0.3">
      <c r="A808" t="s">
        <v>1676</v>
      </c>
      <c r="B808" t="s">
        <v>1677</v>
      </c>
      <c r="C808" t="s">
        <v>15</v>
      </c>
      <c r="D808" t="s">
        <v>20</v>
      </c>
      <c r="E808">
        <v>58</v>
      </c>
      <c r="F808" t="str">
        <f t="shared" si="36"/>
        <v>51 to 60</v>
      </c>
      <c r="G808" t="s">
        <v>158</v>
      </c>
      <c r="H808" t="s">
        <v>159</v>
      </c>
      <c r="I808" t="s">
        <v>108</v>
      </c>
      <c r="J808">
        <v>11</v>
      </c>
      <c r="K808" t="str">
        <f t="shared" si="37"/>
        <v>11 to 20</v>
      </c>
      <c r="L808" s="1">
        <v>100</v>
      </c>
      <c r="M808" t="s">
        <v>2070</v>
      </c>
      <c r="O808">
        <v>4.3</v>
      </c>
      <c r="P808">
        <v>0</v>
      </c>
      <c r="Q808" t="s">
        <v>2077</v>
      </c>
      <c r="R808">
        <v>0.66</v>
      </c>
      <c r="S808" s="2">
        <v>0.66</v>
      </c>
      <c r="T808" s="2" t="str">
        <f t="shared" si="38"/>
        <v>61% to 70 %</v>
      </c>
    </row>
    <row r="809" spans="1:20" x14ac:dyDescent="0.3">
      <c r="A809" t="s">
        <v>1678</v>
      </c>
      <c r="B809" t="s">
        <v>1679</v>
      </c>
      <c r="C809" t="s">
        <v>15</v>
      </c>
      <c r="D809" t="s">
        <v>20</v>
      </c>
      <c r="F809" t="str">
        <f t="shared" si="36"/>
        <v/>
      </c>
      <c r="G809" t="s">
        <v>58</v>
      </c>
      <c r="H809" t="s">
        <v>59</v>
      </c>
      <c r="I809" t="s">
        <v>39</v>
      </c>
      <c r="K809" t="str">
        <f t="shared" si="37"/>
        <v/>
      </c>
      <c r="L809" s="1">
        <v>40</v>
      </c>
      <c r="M809" t="s">
        <v>2067</v>
      </c>
      <c r="O809">
        <v>1.9</v>
      </c>
      <c r="P809">
        <v>1</v>
      </c>
      <c r="Q809" t="s">
        <v>2076</v>
      </c>
      <c r="R809">
        <v>0.94</v>
      </c>
      <c r="S809" s="2">
        <v>0.94</v>
      </c>
      <c r="T809" s="2" t="str">
        <f t="shared" si="38"/>
        <v>91% to 100%</v>
      </c>
    </row>
    <row r="810" spans="1:20" x14ac:dyDescent="0.3">
      <c r="A810" t="s">
        <v>1680</v>
      </c>
      <c r="B810" t="s">
        <v>1681</v>
      </c>
      <c r="C810" t="s">
        <v>36</v>
      </c>
      <c r="D810" t="s">
        <v>20</v>
      </c>
      <c r="E810">
        <v>52</v>
      </c>
      <c r="F810" t="str">
        <f t="shared" si="36"/>
        <v>51 to 60</v>
      </c>
      <c r="G810" t="s">
        <v>50</v>
      </c>
      <c r="H810" t="s">
        <v>51</v>
      </c>
      <c r="I810" t="s">
        <v>33</v>
      </c>
      <c r="J810">
        <v>30</v>
      </c>
      <c r="K810" t="str">
        <f t="shared" si="37"/>
        <v>21 to 30</v>
      </c>
      <c r="L810" s="1">
        <v>30</v>
      </c>
      <c r="M810" t="s">
        <v>2069</v>
      </c>
      <c r="O810">
        <v>2</v>
      </c>
      <c r="P810">
        <v>1</v>
      </c>
      <c r="Q810" t="s">
        <v>2076</v>
      </c>
      <c r="R810">
        <v>0.68</v>
      </c>
      <c r="S810" s="2">
        <v>0.68</v>
      </c>
      <c r="T810" s="2" t="str">
        <f t="shared" si="38"/>
        <v>61% to 70 %</v>
      </c>
    </row>
    <row r="811" spans="1:20" x14ac:dyDescent="0.3">
      <c r="A811" t="s">
        <v>1682</v>
      </c>
      <c r="B811" t="s">
        <v>1683</v>
      </c>
      <c r="C811" t="s">
        <v>15</v>
      </c>
      <c r="D811" t="s">
        <v>20</v>
      </c>
      <c r="E811">
        <v>44</v>
      </c>
      <c r="F811" t="str">
        <f t="shared" si="36"/>
        <v>41 to 50</v>
      </c>
      <c r="G811" t="s">
        <v>50</v>
      </c>
      <c r="H811" t="s">
        <v>51</v>
      </c>
      <c r="I811" t="s">
        <v>47</v>
      </c>
      <c r="J811">
        <v>18</v>
      </c>
      <c r="K811" t="str">
        <f t="shared" si="37"/>
        <v>11 to 20</v>
      </c>
      <c r="L811" s="1">
        <v>20</v>
      </c>
      <c r="M811" t="s">
        <v>2072</v>
      </c>
      <c r="O811">
        <v>4.7</v>
      </c>
      <c r="P811">
        <v>1</v>
      </c>
      <c r="Q811" t="s">
        <v>2076</v>
      </c>
      <c r="R811">
        <v>0.88</v>
      </c>
      <c r="S811" s="2">
        <v>0.88</v>
      </c>
      <c r="T811" s="2" t="str">
        <f t="shared" si="38"/>
        <v>81% to 90%</v>
      </c>
    </row>
    <row r="812" spans="1:20" x14ac:dyDescent="0.3">
      <c r="A812" t="s">
        <v>1684</v>
      </c>
      <c r="B812" t="s">
        <v>1685</v>
      </c>
      <c r="C812" t="s">
        <v>36</v>
      </c>
      <c r="D812" t="s">
        <v>20</v>
      </c>
      <c r="E812">
        <v>37</v>
      </c>
      <c r="F812" t="str">
        <f t="shared" si="36"/>
        <v>31 to 40</v>
      </c>
      <c r="G812" t="s">
        <v>91</v>
      </c>
      <c r="H812" t="s">
        <v>59</v>
      </c>
      <c r="I812" t="s">
        <v>63</v>
      </c>
      <c r="J812">
        <v>2</v>
      </c>
      <c r="K812" t="str">
        <f t="shared" si="37"/>
        <v>0 to 10</v>
      </c>
      <c r="L812" s="1">
        <v>30</v>
      </c>
      <c r="M812" t="s">
        <v>2065</v>
      </c>
      <c r="N812" t="s">
        <v>2069</v>
      </c>
      <c r="O812">
        <v>2.2999999999999998</v>
      </c>
      <c r="P812" t="s">
        <v>19</v>
      </c>
      <c r="Q812" t="s">
        <v>2076</v>
      </c>
      <c r="T812" s="2" t="str">
        <f t="shared" si="38"/>
        <v/>
      </c>
    </row>
    <row r="813" spans="1:20" x14ac:dyDescent="0.3">
      <c r="A813" t="s">
        <v>1686</v>
      </c>
      <c r="B813" t="s">
        <v>1687</v>
      </c>
      <c r="C813" t="s">
        <v>15</v>
      </c>
      <c r="D813" t="s">
        <v>20</v>
      </c>
      <c r="E813">
        <v>40</v>
      </c>
      <c r="F813" t="str">
        <f t="shared" si="36"/>
        <v>31 to 40</v>
      </c>
      <c r="G813" t="s">
        <v>91</v>
      </c>
      <c r="H813" t="s">
        <v>59</v>
      </c>
      <c r="I813" t="s">
        <v>33</v>
      </c>
      <c r="J813">
        <v>20</v>
      </c>
      <c r="K813" t="str">
        <f t="shared" si="37"/>
        <v>11 to 20</v>
      </c>
      <c r="L813" s="1">
        <v>20</v>
      </c>
      <c r="M813" t="s">
        <v>2072</v>
      </c>
      <c r="O813">
        <v>2.5</v>
      </c>
      <c r="P813">
        <v>0</v>
      </c>
      <c r="Q813" t="s">
        <v>2077</v>
      </c>
      <c r="R813">
        <v>0.81</v>
      </c>
      <c r="S813" s="2">
        <v>0.81</v>
      </c>
      <c r="T813" s="2" t="str">
        <f t="shared" si="38"/>
        <v>81% to 90%</v>
      </c>
    </row>
    <row r="814" spans="1:20" x14ac:dyDescent="0.3">
      <c r="A814" t="s">
        <v>1688</v>
      </c>
      <c r="B814" t="s">
        <v>1689</v>
      </c>
      <c r="C814" t="s">
        <v>15</v>
      </c>
      <c r="D814" t="s">
        <v>20</v>
      </c>
      <c r="E814">
        <v>51</v>
      </c>
      <c r="F814" t="str">
        <f t="shared" si="36"/>
        <v>51 to 60</v>
      </c>
      <c r="G814" t="s">
        <v>42</v>
      </c>
      <c r="H814" t="s">
        <v>43</v>
      </c>
      <c r="I814" t="s">
        <v>52</v>
      </c>
      <c r="J814">
        <v>5</v>
      </c>
      <c r="K814" t="str">
        <f t="shared" si="37"/>
        <v>0 to 10</v>
      </c>
      <c r="L814" s="1">
        <v>40</v>
      </c>
      <c r="M814" t="s">
        <v>2068</v>
      </c>
      <c r="N814" t="s">
        <v>2067</v>
      </c>
      <c r="O814">
        <v>1.7</v>
      </c>
      <c r="P814" t="s">
        <v>19</v>
      </c>
      <c r="Q814" t="s">
        <v>2076</v>
      </c>
      <c r="R814">
        <v>0.61</v>
      </c>
      <c r="S814" s="2">
        <v>0.61</v>
      </c>
      <c r="T814" s="2" t="str">
        <f t="shared" si="38"/>
        <v>61% to 70 %</v>
      </c>
    </row>
    <row r="815" spans="1:20" x14ac:dyDescent="0.3">
      <c r="A815" t="s">
        <v>1690</v>
      </c>
      <c r="B815" t="s">
        <v>1691</v>
      </c>
      <c r="C815" t="s">
        <v>36</v>
      </c>
      <c r="D815" t="s">
        <v>20</v>
      </c>
      <c r="E815">
        <v>36</v>
      </c>
      <c r="F815" t="str">
        <f t="shared" si="36"/>
        <v>31 to 40</v>
      </c>
      <c r="G815" t="s">
        <v>83</v>
      </c>
      <c r="H815" t="s">
        <v>84</v>
      </c>
      <c r="I815" t="s">
        <v>33</v>
      </c>
      <c r="J815">
        <v>13</v>
      </c>
      <c r="K815" t="str">
        <f t="shared" si="37"/>
        <v>11 to 20</v>
      </c>
      <c r="L815" s="1">
        <v>40</v>
      </c>
      <c r="M815" t="s">
        <v>2067</v>
      </c>
      <c r="P815" t="s">
        <v>53</v>
      </c>
      <c r="Q815" t="s">
        <v>2077</v>
      </c>
      <c r="R815">
        <v>0.78</v>
      </c>
      <c r="S815" s="2">
        <v>0.78</v>
      </c>
      <c r="T815" s="2" t="str">
        <f t="shared" si="38"/>
        <v>71% to 80%</v>
      </c>
    </row>
    <row r="816" spans="1:20" x14ac:dyDescent="0.3">
      <c r="A816" t="s">
        <v>1692</v>
      </c>
      <c r="B816" t="s">
        <v>1693</v>
      </c>
      <c r="C816" t="s">
        <v>15</v>
      </c>
      <c r="D816" t="s">
        <v>20</v>
      </c>
      <c r="E816">
        <v>43</v>
      </c>
      <c r="F816" t="str">
        <f t="shared" si="36"/>
        <v>41 to 50</v>
      </c>
      <c r="G816" t="s">
        <v>254</v>
      </c>
      <c r="H816" t="s">
        <v>255</v>
      </c>
      <c r="I816" t="s">
        <v>18</v>
      </c>
      <c r="J816">
        <v>14</v>
      </c>
      <c r="K816" t="str">
        <f t="shared" si="37"/>
        <v>11 to 20</v>
      </c>
      <c r="L816" s="1">
        <v>40</v>
      </c>
      <c r="M816" t="s">
        <v>2068</v>
      </c>
      <c r="N816" t="s">
        <v>2067</v>
      </c>
      <c r="O816">
        <v>4.5999999999999996</v>
      </c>
      <c r="P816" t="b">
        <v>0</v>
      </c>
      <c r="Q816" t="s">
        <v>2077</v>
      </c>
      <c r="R816">
        <v>0.94</v>
      </c>
      <c r="S816" s="2">
        <v>0.94</v>
      </c>
      <c r="T816" s="2" t="str">
        <f t="shared" si="38"/>
        <v>91% to 100%</v>
      </c>
    </row>
    <row r="817" spans="1:21" x14ac:dyDescent="0.3">
      <c r="A817" t="s">
        <v>1694</v>
      </c>
      <c r="B817" t="s">
        <v>1695</v>
      </c>
      <c r="C817" t="s">
        <v>36</v>
      </c>
      <c r="D817" t="s">
        <v>20</v>
      </c>
      <c r="E817">
        <v>21</v>
      </c>
      <c r="F817" t="str">
        <f t="shared" si="36"/>
        <v>21 to 30</v>
      </c>
      <c r="G817" t="s">
        <v>58</v>
      </c>
      <c r="H817" t="s">
        <v>59</v>
      </c>
      <c r="I817" t="s">
        <v>108</v>
      </c>
      <c r="J817">
        <v>0</v>
      </c>
      <c r="K817" t="str">
        <f t="shared" si="37"/>
        <v>0 to 10</v>
      </c>
      <c r="L817" s="1">
        <v>100</v>
      </c>
      <c r="M817" t="s">
        <v>2070</v>
      </c>
      <c r="P817">
        <v>0</v>
      </c>
      <c r="Q817" t="s">
        <v>2077</v>
      </c>
      <c r="R817">
        <v>0.73</v>
      </c>
      <c r="S817" s="2">
        <v>0.73</v>
      </c>
      <c r="T817" s="2" t="str">
        <f t="shared" si="38"/>
        <v>71% to 80%</v>
      </c>
    </row>
    <row r="818" spans="1:21" x14ac:dyDescent="0.3">
      <c r="A818" t="s">
        <v>1696</v>
      </c>
      <c r="B818" t="s">
        <v>1697</v>
      </c>
      <c r="C818" t="s">
        <v>15</v>
      </c>
      <c r="D818" t="s">
        <v>20</v>
      </c>
      <c r="E818">
        <v>59</v>
      </c>
      <c r="F818" t="str">
        <f t="shared" si="36"/>
        <v>51 to 60</v>
      </c>
      <c r="G818" t="s">
        <v>37</v>
      </c>
      <c r="H818" t="s">
        <v>38</v>
      </c>
      <c r="I818" t="s">
        <v>108</v>
      </c>
      <c r="J818">
        <v>13</v>
      </c>
      <c r="K818" t="str">
        <f t="shared" si="37"/>
        <v>11 to 20</v>
      </c>
      <c r="L818" s="1">
        <v>20</v>
      </c>
      <c r="M818" t="s">
        <v>2068</v>
      </c>
      <c r="N818" t="s">
        <v>2072</v>
      </c>
      <c r="O818">
        <v>4.8</v>
      </c>
      <c r="T818" s="2" t="str">
        <f t="shared" si="38"/>
        <v/>
      </c>
    </row>
    <row r="819" spans="1:21" x14ac:dyDescent="0.3">
      <c r="A819" t="s">
        <v>1698</v>
      </c>
      <c r="B819" t="s">
        <v>1699</v>
      </c>
      <c r="C819" t="s">
        <v>36</v>
      </c>
      <c r="D819" t="s">
        <v>20</v>
      </c>
      <c r="E819">
        <v>39</v>
      </c>
      <c r="F819" t="str">
        <f t="shared" si="36"/>
        <v>31 to 40</v>
      </c>
      <c r="G819" t="s">
        <v>42</v>
      </c>
      <c r="H819" t="s">
        <v>43</v>
      </c>
      <c r="I819" t="s">
        <v>39</v>
      </c>
      <c r="J819">
        <v>14</v>
      </c>
      <c r="K819" t="str">
        <f t="shared" si="37"/>
        <v>11 to 20</v>
      </c>
      <c r="L819" s="1">
        <v>100</v>
      </c>
      <c r="M819" t="s">
        <v>2068</v>
      </c>
      <c r="N819" t="s">
        <v>2070</v>
      </c>
      <c r="O819">
        <v>0</v>
      </c>
      <c r="P819" t="s">
        <v>96</v>
      </c>
      <c r="Q819" t="s">
        <v>2076</v>
      </c>
      <c r="R819">
        <v>0.92</v>
      </c>
      <c r="S819" s="2">
        <v>0.92</v>
      </c>
      <c r="T819" s="2" t="str">
        <f t="shared" si="38"/>
        <v>91% to 100%</v>
      </c>
    </row>
    <row r="820" spans="1:21" x14ac:dyDescent="0.3">
      <c r="A820" t="s">
        <v>1700</v>
      </c>
      <c r="B820" t="s">
        <v>1699</v>
      </c>
      <c r="C820" t="s">
        <v>15</v>
      </c>
      <c r="D820" t="s">
        <v>20</v>
      </c>
      <c r="E820">
        <v>49</v>
      </c>
      <c r="F820" t="str">
        <f t="shared" si="36"/>
        <v>41 to 50</v>
      </c>
      <c r="G820" t="s">
        <v>188</v>
      </c>
      <c r="H820" t="s">
        <v>189</v>
      </c>
      <c r="I820" t="s">
        <v>33</v>
      </c>
      <c r="K820" t="str">
        <f t="shared" si="37"/>
        <v/>
      </c>
      <c r="L820" s="1">
        <v>30</v>
      </c>
      <c r="M820" t="s">
        <v>2065</v>
      </c>
      <c r="N820" t="s">
        <v>2069</v>
      </c>
      <c r="P820" t="s">
        <v>19</v>
      </c>
      <c r="Q820" t="s">
        <v>2076</v>
      </c>
      <c r="R820">
        <v>0.74</v>
      </c>
      <c r="S820" s="2">
        <v>0.74</v>
      </c>
      <c r="T820" s="2" t="str">
        <f t="shared" si="38"/>
        <v>71% to 80%</v>
      </c>
    </row>
    <row r="821" spans="1:21" x14ac:dyDescent="0.3">
      <c r="A821" t="s">
        <v>1701</v>
      </c>
      <c r="B821" t="s">
        <v>1702</v>
      </c>
      <c r="C821" t="s">
        <v>15</v>
      </c>
      <c r="D821" t="s">
        <v>20</v>
      </c>
      <c r="E821">
        <v>27</v>
      </c>
      <c r="F821" t="str">
        <f t="shared" si="36"/>
        <v>21 to 30</v>
      </c>
      <c r="G821" t="s">
        <v>83</v>
      </c>
      <c r="H821" t="s">
        <v>84</v>
      </c>
      <c r="I821" t="s">
        <v>60</v>
      </c>
      <c r="J821">
        <v>2</v>
      </c>
      <c r="K821" t="str">
        <f t="shared" si="37"/>
        <v>0 to 10</v>
      </c>
      <c r="L821" s="1">
        <v>50</v>
      </c>
      <c r="M821" t="s">
        <v>2065</v>
      </c>
      <c r="N821" t="s">
        <v>2071</v>
      </c>
      <c r="P821">
        <v>0</v>
      </c>
      <c r="Q821" t="s">
        <v>2077</v>
      </c>
      <c r="R821">
        <v>0.84</v>
      </c>
      <c r="S821" s="2">
        <v>0.84</v>
      </c>
      <c r="T821" s="2" t="str">
        <f t="shared" si="38"/>
        <v>81% to 90%</v>
      </c>
    </row>
    <row r="822" spans="1:21" x14ac:dyDescent="0.3">
      <c r="A822" t="s">
        <v>1703</v>
      </c>
      <c r="B822" t="s">
        <v>1704</v>
      </c>
      <c r="C822" t="s">
        <v>15</v>
      </c>
      <c r="D822" t="s">
        <v>20</v>
      </c>
      <c r="E822">
        <v>40</v>
      </c>
      <c r="F822" t="str">
        <f t="shared" si="36"/>
        <v>31 to 40</v>
      </c>
      <c r="G822" t="s">
        <v>27</v>
      </c>
      <c r="H822" t="s">
        <v>28</v>
      </c>
      <c r="I822" t="s">
        <v>108</v>
      </c>
      <c r="J822">
        <v>2</v>
      </c>
      <c r="K822" t="str">
        <f t="shared" si="37"/>
        <v>0 to 10</v>
      </c>
      <c r="L822" s="1">
        <v>30</v>
      </c>
      <c r="M822" t="s">
        <v>2065</v>
      </c>
      <c r="N822" t="s">
        <v>2069</v>
      </c>
      <c r="O822">
        <v>1.3</v>
      </c>
      <c r="P822">
        <v>1</v>
      </c>
      <c r="Q822" t="s">
        <v>2076</v>
      </c>
      <c r="R822">
        <v>0.77</v>
      </c>
      <c r="S822" s="2">
        <v>0.77</v>
      </c>
      <c r="T822" s="2" t="str">
        <f t="shared" si="38"/>
        <v>71% to 80%</v>
      </c>
    </row>
    <row r="823" spans="1:21" x14ac:dyDescent="0.3">
      <c r="A823" t="s">
        <v>1705</v>
      </c>
      <c r="B823" t="s">
        <v>1706</v>
      </c>
      <c r="C823" t="s">
        <v>36</v>
      </c>
      <c r="D823" t="s">
        <v>20</v>
      </c>
      <c r="E823">
        <v>48</v>
      </c>
      <c r="F823" t="str">
        <f t="shared" si="36"/>
        <v>41 to 50</v>
      </c>
      <c r="G823" t="s">
        <v>188</v>
      </c>
      <c r="H823" t="s">
        <v>189</v>
      </c>
      <c r="I823" t="s">
        <v>39</v>
      </c>
      <c r="J823">
        <v>8</v>
      </c>
      <c r="K823" t="str">
        <f t="shared" si="37"/>
        <v>0 to 10</v>
      </c>
      <c r="L823" s="1">
        <v>50</v>
      </c>
      <c r="M823" t="s">
        <v>2071</v>
      </c>
      <c r="P823">
        <v>1</v>
      </c>
      <c r="Q823" t="s">
        <v>2076</v>
      </c>
      <c r="R823">
        <v>0.73</v>
      </c>
      <c r="S823" s="2">
        <v>0.73</v>
      </c>
      <c r="T823" s="2" t="str">
        <f t="shared" si="38"/>
        <v>71% to 80%</v>
      </c>
    </row>
    <row r="824" spans="1:21" x14ac:dyDescent="0.3">
      <c r="A824" t="s">
        <v>1707</v>
      </c>
      <c r="B824" t="s">
        <v>1708</v>
      </c>
      <c r="C824" t="s">
        <v>36</v>
      </c>
      <c r="D824" t="s">
        <v>20</v>
      </c>
      <c r="E824">
        <v>46</v>
      </c>
      <c r="F824" t="str">
        <f t="shared" si="36"/>
        <v>41 to 50</v>
      </c>
      <c r="G824" t="s">
        <v>87</v>
      </c>
      <c r="H824" t="s">
        <v>88</v>
      </c>
      <c r="I824" t="s">
        <v>108</v>
      </c>
      <c r="J824">
        <v>9</v>
      </c>
      <c r="K824" t="str">
        <f t="shared" si="37"/>
        <v>0 to 10</v>
      </c>
      <c r="L824" s="1">
        <v>20</v>
      </c>
      <c r="M824" t="s">
        <v>2072</v>
      </c>
      <c r="O824">
        <v>1.4</v>
      </c>
      <c r="P824" t="b">
        <v>1</v>
      </c>
      <c r="Q824" t="s">
        <v>2076</v>
      </c>
      <c r="R824">
        <v>0.76</v>
      </c>
      <c r="S824" s="2">
        <v>0.76</v>
      </c>
      <c r="T824" s="2" t="str">
        <f t="shared" si="38"/>
        <v>71% to 80%</v>
      </c>
    </row>
    <row r="825" spans="1:21" x14ac:dyDescent="0.3">
      <c r="A825" t="s">
        <v>1709</v>
      </c>
      <c r="B825" t="s">
        <v>1710</v>
      </c>
      <c r="C825" t="s">
        <v>36</v>
      </c>
      <c r="D825" t="s">
        <v>20</v>
      </c>
      <c r="E825">
        <v>56</v>
      </c>
      <c r="F825" t="str">
        <f t="shared" si="36"/>
        <v>51 to 60</v>
      </c>
      <c r="G825" t="s">
        <v>87</v>
      </c>
      <c r="H825" t="s">
        <v>88</v>
      </c>
      <c r="I825" t="s">
        <v>66</v>
      </c>
      <c r="J825">
        <v>22</v>
      </c>
      <c r="K825" t="str">
        <f t="shared" si="37"/>
        <v>21 to 30</v>
      </c>
      <c r="L825" s="1">
        <v>30</v>
      </c>
      <c r="M825" t="s">
        <v>2068</v>
      </c>
      <c r="N825" t="s">
        <v>2069</v>
      </c>
      <c r="P825" t="s">
        <v>67</v>
      </c>
      <c r="Q825" t="s">
        <v>2077</v>
      </c>
      <c r="R825">
        <v>0.95</v>
      </c>
      <c r="S825" s="2">
        <v>0.95</v>
      </c>
      <c r="T825" s="2" t="str">
        <f t="shared" si="38"/>
        <v>91% to 100%</v>
      </c>
    </row>
    <row r="826" spans="1:21" x14ac:dyDescent="0.3">
      <c r="A826" t="s">
        <v>1711</v>
      </c>
      <c r="B826" t="s">
        <v>1712</v>
      </c>
      <c r="C826" t="s">
        <v>15</v>
      </c>
      <c r="D826" t="s">
        <v>20</v>
      </c>
      <c r="E826">
        <v>21</v>
      </c>
      <c r="F826" t="str">
        <f t="shared" si="36"/>
        <v>21 to 30</v>
      </c>
      <c r="G826" t="s">
        <v>58</v>
      </c>
      <c r="H826" t="s">
        <v>59</v>
      </c>
      <c r="I826" t="s">
        <v>52</v>
      </c>
      <c r="J826">
        <v>1</v>
      </c>
      <c r="K826" t="str">
        <f t="shared" si="37"/>
        <v>0 to 10</v>
      </c>
      <c r="L826" s="1">
        <v>30</v>
      </c>
      <c r="M826" t="s">
        <v>2068</v>
      </c>
      <c r="N826" t="s">
        <v>2069</v>
      </c>
      <c r="O826">
        <v>1</v>
      </c>
      <c r="P826" t="s">
        <v>53</v>
      </c>
      <c r="Q826" t="s">
        <v>2077</v>
      </c>
      <c r="R826">
        <v>0.81</v>
      </c>
      <c r="S826" s="2">
        <v>0.81</v>
      </c>
      <c r="T826" s="2" t="str">
        <f t="shared" si="38"/>
        <v>81% to 90%</v>
      </c>
    </row>
    <row r="827" spans="1:21" x14ac:dyDescent="0.3">
      <c r="A827" t="s">
        <v>1713</v>
      </c>
      <c r="B827" t="s">
        <v>1714</v>
      </c>
      <c r="C827" t="s">
        <v>36</v>
      </c>
      <c r="D827" t="s">
        <v>20</v>
      </c>
      <c r="E827">
        <v>52</v>
      </c>
      <c r="F827" t="str">
        <f t="shared" si="36"/>
        <v>51 to 60</v>
      </c>
      <c r="G827" t="s">
        <v>118</v>
      </c>
      <c r="H827" t="s">
        <v>119</v>
      </c>
      <c r="I827" t="s">
        <v>79</v>
      </c>
      <c r="J827">
        <v>33</v>
      </c>
      <c r="K827" t="str">
        <f t="shared" si="37"/>
        <v>31 to 40</v>
      </c>
      <c r="O827">
        <v>0</v>
      </c>
      <c r="P827">
        <v>1</v>
      </c>
      <c r="Q827" t="s">
        <v>2076</v>
      </c>
      <c r="R827">
        <v>0.6</v>
      </c>
      <c r="S827" s="2">
        <v>0.6</v>
      </c>
      <c r="T827" s="2" t="str">
        <f t="shared" si="38"/>
        <v>50% to 60%</v>
      </c>
    </row>
    <row r="828" spans="1:21" x14ac:dyDescent="0.3">
      <c r="A828" t="s">
        <v>1715</v>
      </c>
      <c r="B828" t="s">
        <v>1716</v>
      </c>
      <c r="C828" t="s">
        <v>76</v>
      </c>
      <c r="D828" t="s">
        <v>80</v>
      </c>
      <c r="E828">
        <v>31</v>
      </c>
      <c r="F828" t="str">
        <f t="shared" si="36"/>
        <v>31 to 40</v>
      </c>
      <c r="G828" t="s">
        <v>188</v>
      </c>
      <c r="H828" t="s">
        <v>189</v>
      </c>
      <c r="I828" t="s">
        <v>39</v>
      </c>
      <c r="K828" t="str">
        <f t="shared" si="37"/>
        <v/>
      </c>
      <c r="L828" s="1">
        <v>75</v>
      </c>
      <c r="M828" t="s">
        <v>2068</v>
      </c>
      <c r="N828" t="s">
        <v>2066</v>
      </c>
      <c r="O828">
        <v>1.3</v>
      </c>
      <c r="P828">
        <v>1</v>
      </c>
      <c r="Q828" t="s">
        <v>2076</v>
      </c>
      <c r="R828">
        <v>0.65</v>
      </c>
      <c r="S828" s="2">
        <v>0.65</v>
      </c>
      <c r="T828" s="2" t="str">
        <f t="shared" si="38"/>
        <v>61% to 70 %</v>
      </c>
    </row>
    <row r="829" spans="1:21" x14ac:dyDescent="0.3">
      <c r="A829" t="s">
        <v>1717</v>
      </c>
      <c r="B829" t="s">
        <v>1718</v>
      </c>
      <c r="C829" t="s">
        <v>111</v>
      </c>
      <c r="D829" t="s">
        <v>80</v>
      </c>
      <c r="E829">
        <v>38</v>
      </c>
      <c r="F829" t="str">
        <f t="shared" si="36"/>
        <v>31 to 40</v>
      </c>
      <c r="G829" t="s">
        <v>58</v>
      </c>
      <c r="H829" t="s">
        <v>59</v>
      </c>
      <c r="I829" t="s">
        <v>63</v>
      </c>
      <c r="J829">
        <v>10</v>
      </c>
      <c r="K829" t="str">
        <f t="shared" si="37"/>
        <v>0 to 10</v>
      </c>
      <c r="L829" s="1">
        <v>40</v>
      </c>
      <c r="M829" t="s">
        <v>2067</v>
      </c>
      <c r="P829" t="s">
        <v>53</v>
      </c>
      <c r="Q829" t="s">
        <v>2077</v>
      </c>
      <c r="R829">
        <v>0.66</v>
      </c>
      <c r="S829" s="2">
        <v>0.66</v>
      </c>
      <c r="T829" s="2" t="str">
        <f t="shared" si="38"/>
        <v>61% to 70 %</v>
      </c>
    </row>
    <row r="830" spans="1:21" x14ac:dyDescent="0.3">
      <c r="A830" t="s">
        <v>1719</v>
      </c>
      <c r="B830" t="s">
        <v>1720</v>
      </c>
      <c r="C830" t="s">
        <v>76</v>
      </c>
      <c r="D830" t="s">
        <v>80</v>
      </c>
      <c r="E830">
        <v>22</v>
      </c>
      <c r="F830" t="str">
        <f t="shared" si="36"/>
        <v>21 to 30</v>
      </c>
      <c r="G830" t="s">
        <v>50</v>
      </c>
      <c r="H830" t="s">
        <v>51</v>
      </c>
      <c r="I830" t="s">
        <v>63</v>
      </c>
      <c r="J830">
        <v>3</v>
      </c>
      <c r="K830" t="str">
        <f t="shared" si="37"/>
        <v>0 to 10</v>
      </c>
      <c r="L830" s="1">
        <v>100</v>
      </c>
      <c r="M830" t="s">
        <v>2068</v>
      </c>
      <c r="N830" t="s">
        <v>2070</v>
      </c>
      <c r="O830">
        <v>3.6</v>
      </c>
      <c r="P830">
        <v>1</v>
      </c>
      <c r="Q830" t="s">
        <v>2076</v>
      </c>
      <c r="R830">
        <v>0.78</v>
      </c>
      <c r="S830" s="2">
        <v>0.78</v>
      </c>
      <c r="T830" s="2" t="str">
        <f t="shared" si="38"/>
        <v>71% to 80%</v>
      </c>
    </row>
    <row r="831" spans="1:21" x14ac:dyDescent="0.3">
      <c r="A831" t="s">
        <v>1721</v>
      </c>
      <c r="B831" t="s">
        <v>1722</v>
      </c>
      <c r="C831" t="s">
        <v>111</v>
      </c>
      <c r="D831" t="s">
        <v>80</v>
      </c>
      <c r="E831">
        <v>36</v>
      </c>
      <c r="F831" t="str">
        <f t="shared" si="36"/>
        <v>31 to 40</v>
      </c>
      <c r="G831" t="s">
        <v>104</v>
      </c>
      <c r="H831" t="s">
        <v>105</v>
      </c>
      <c r="I831" t="s">
        <v>108</v>
      </c>
      <c r="J831">
        <v>8</v>
      </c>
      <c r="K831" t="str">
        <f t="shared" si="37"/>
        <v>0 to 10</v>
      </c>
      <c r="L831" s="1">
        <v>40</v>
      </c>
      <c r="M831" t="s">
        <v>2068</v>
      </c>
      <c r="N831" t="s">
        <v>2067</v>
      </c>
      <c r="P831" t="s">
        <v>53</v>
      </c>
      <c r="Q831" t="s">
        <v>2077</v>
      </c>
      <c r="R831">
        <v>0.8</v>
      </c>
      <c r="S831" s="2">
        <v>0.8</v>
      </c>
      <c r="T831" s="2" t="str">
        <f t="shared" si="38"/>
        <v>71% to 80%</v>
      </c>
    </row>
    <row r="832" spans="1:21" x14ac:dyDescent="0.3">
      <c r="A832" t="s">
        <v>1723</v>
      </c>
      <c r="B832" t="s">
        <v>1724</v>
      </c>
      <c r="C832" t="s">
        <v>111</v>
      </c>
      <c r="D832" t="s">
        <v>80</v>
      </c>
      <c r="E832">
        <v>39</v>
      </c>
      <c r="F832" t="str">
        <f t="shared" si="36"/>
        <v>31 to 40</v>
      </c>
      <c r="G832" t="s">
        <v>31</v>
      </c>
      <c r="H832" t="s">
        <v>32</v>
      </c>
      <c r="I832" t="s">
        <v>63</v>
      </c>
      <c r="J832">
        <v>18</v>
      </c>
      <c r="K832" t="str">
        <f t="shared" si="37"/>
        <v>11 to 20</v>
      </c>
      <c r="L832" s="1">
        <v>50</v>
      </c>
      <c r="M832" t="s">
        <v>2071</v>
      </c>
      <c r="O832">
        <v>2.1</v>
      </c>
      <c r="P832">
        <v>0</v>
      </c>
      <c r="Q832" t="s">
        <v>2077</v>
      </c>
      <c r="R832">
        <v>75</v>
      </c>
      <c r="S832" s="2">
        <v>0.75</v>
      </c>
      <c r="T832" s="2" t="str">
        <f t="shared" si="38"/>
        <v>71% to 80%</v>
      </c>
      <c r="U832">
        <v>0.75</v>
      </c>
    </row>
    <row r="833" spans="1:21" x14ac:dyDescent="0.3">
      <c r="A833" t="s">
        <v>1725</v>
      </c>
      <c r="B833" t="s">
        <v>1726</v>
      </c>
      <c r="C833" t="s">
        <v>15</v>
      </c>
      <c r="D833" t="s">
        <v>20</v>
      </c>
      <c r="E833">
        <v>60</v>
      </c>
      <c r="F833" t="str">
        <f t="shared" si="36"/>
        <v>51 to 60</v>
      </c>
      <c r="G833" t="s">
        <v>46</v>
      </c>
      <c r="H833" t="s">
        <v>17</v>
      </c>
      <c r="I833" t="s">
        <v>79</v>
      </c>
      <c r="J833">
        <v>39</v>
      </c>
      <c r="K833" t="str">
        <f t="shared" si="37"/>
        <v>31 to 40</v>
      </c>
      <c r="L833" s="1">
        <v>75</v>
      </c>
      <c r="M833" t="s">
        <v>2068</v>
      </c>
      <c r="N833" t="s">
        <v>2066</v>
      </c>
      <c r="O833">
        <v>4</v>
      </c>
      <c r="R833">
        <v>0.7</v>
      </c>
      <c r="S833" s="2">
        <v>0.7</v>
      </c>
      <c r="T833" s="2" t="str">
        <f t="shared" si="38"/>
        <v>61% to 70 %</v>
      </c>
    </row>
    <row r="834" spans="1:21" x14ac:dyDescent="0.3">
      <c r="A834" t="s">
        <v>1727</v>
      </c>
      <c r="B834" t="s">
        <v>1728</v>
      </c>
      <c r="C834" t="s">
        <v>15</v>
      </c>
      <c r="D834" t="s">
        <v>20</v>
      </c>
      <c r="E834">
        <v>57</v>
      </c>
      <c r="F834" t="str">
        <f t="shared" ref="F834:F897" si="39">IF(OR($E834="",NOT(ISNUMBER($E834))),"",
 IF($E834&lt;=20,"11 to 20",
 IF($E834&lt;=30,"21 to 30",
 IF($E834&lt;=40,"31 to 40",
 IF($E834&lt;=50,"41 to 50",
 IF($E834&lt;=60,"51 to 60"))))))</f>
        <v>51 to 60</v>
      </c>
      <c r="G834" t="s">
        <v>50</v>
      </c>
      <c r="H834" t="s">
        <v>51</v>
      </c>
      <c r="I834" t="s">
        <v>108</v>
      </c>
      <c r="J834">
        <v>16</v>
      </c>
      <c r="K834" t="str">
        <f t="shared" ref="K834:K897" si="40">IF(OR($J834="",NOT(ISNUMBER($J834))),"",
 IF($J834&lt;=10,"0 to 10",
 IF($J834&lt;=20,"11 to 20",
 IF($J834&lt;=30,"21 to 30",
 IF($J834&lt;=40,"31 to 40",
 "40+")))))</f>
        <v>11 to 20</v>
      </c>
      <c r="L834" s="1">
        <v>100</v>
      </c>
      <c r="M834" t="s">
        <v>2070</v>
      </c>
      <c r="O834">
        <v>3.1</v>
      </c>
      <c r="P834" t="b">
        <v>0</v>
      </c>
      <c r="Q834" t="s">
        <v>2077</v>
      </c>
      <c r="T834" s="2" t="str">
        <f t="shared" ref="T834:T897" si="41">IF(OR($S834="",NOT(ISNUMBER($S834))),"",
 IF($S834&lt;=0.6,"50% to 60%",
 IF($S834&lt;=0.7,"61% to 70 %",
 IF($S834&lt;=0.8,"71% to 80%",
 IF($S834&lt;=0.9,"81% to 90%",
 IF($S834&lt;=1,"91% to 100%"))))))</f>
        <v/>
      </c>
    </row>
    <row r="835" spans="1:21" x14ac:dyDescent="0.3">
      <c r="A835" t="s">
        <v>1729</v>
      </c>
      <c r="B835" t="s">
        <v>1730</v>
      </c>
      <c r="C835" t="s">
        <v>15</v>
      </c>
      <c r="D835" t="s">
        <v>20</v>
      </c>
      <c r="E835">
        <v>33</v>
      </c>
      <c r="F835" t="str">
        <f t="shared" si="39"/>
        <v>31 to 40</v>
      </c>
      <c r="G835" t="s">
        <v>16</v>
      </c>
      <c r="H835" t="s">
        <v>17</v>
      </c>
      <c r="I835" t="s">
        <v>47</v>
      </c>
      <c r="J835">
        <v>13</v>
      </c>
      <c r="K835" t="str">
        <f t="shared" si="40"/>
        <v>11 to 20</v>
      </c>
      <c r="L835" s="1">
        <v>50</v>
      </c>
      <c r="M835" t="s">
        <v>2071</v>
      </c>
      <c r="O835">
        <v>2.2000000000000002</v>
      </c>
      <c r="P835" t="s">
        <v>53</v>
      </c>
      <c r="Q835" t="s">
        <v>2077</v>
      </c>
      <c r="R835">
        <v>0.7</v>
      </c>
      <c r="S835" s="2">
        <v>0.7</v>
      </c>
      <c r="T835" s="2" t="str">
        <f t="shared" si="41"/>
        <v>61% to 70 %</v>
      </c>
    </row>
    <row r="836" spans="1:21" x14ac:dyDescent="0.3">
      <c r="A836" t="s">
        <v>1731</v>
      </c>
      <c r="B836" t="s">
        <v>1732</v>
      </c>
      <c r="C836" t="s">
        <v>36</v>
      </c>
      <c r="D836" t="s">
        <v>20</v>
      </c>
      <c r="E836">
        <v>32</v>
      </c>
      <c r="F836" t="str">
        <f t="shared" si="39"/>
        <v>31 to 40</v>
      </c>
      <c r="G836" t="s">
        <v>23</v>
      </c>
      <c r="H836" t="s">
        <v>24</v>
      </c>
      <c r="I836" t="s">
        <v>18</v>
      </c>
      <c r="K836" t="str">
        <f t="shared" si="40"/>
        <v/>
      </c>
      <c r="L836" s="1">
        <v>30</v>
      </c>
      <c r="M836" t="s">
        <v>2069</v>
      </c>
      <c r="O836">
        <v>1.5</v>
      </c>
      <c r="P836">
        <v>0</v>
      </c>
      <c r="Q836" t="s">
        <v>2077</v>
      </c>
      <c r="R836">
        <v>0.68</v>
      </c>
      <c r="S836" s="2">
        <v>0.68</v>
      </c>
      <c r="T836" s="2" t="str">
        <f t="shared" si="41"/>
        <v>61% to 70 %</v>
      </c>
    </row>
    <row r="837" spans="1:21" x14ac:dyDescent="0.3">
      <c r="A837" t="s">
        <v>1733</v>
      </c>
      <c r="B837" t="s">
        <v>1734</v>
      </c>
      <c r="C837" t="s">
        <v>36</v>
      </c>
      <c r="D837" t="s">
        <v>20</v>
      </c>
      <c r="E837">
        <v>50</v>
      </c>
      <c r="F837" t="str">
        <f t="shared" si="39"/>
        <v>41 to 50</v>
      </c>
      <c r="G837" t="s">
        <v>139</v>
      </c>
      <c r="H837" t="s">
        <v>59</v>
      </c>
      <c r="I837" t="s">
        <v>79</v>
      </c>
      <c r="J837">
        <v>23</v>
      </c>
      <c r="K837" t="str">
        <f t="shared" si="40"/>
        <v>21 to 30</v>
      </c>
      <c r="L837" s="1">
        <v>40</v>
      </c>
      <c r="M837" t="s">
        <v>2065</v>
      </c>
      <c r="N837" t="s">
        <v>2067</v>
      </c>
      <c r="O837">
        <v>3.6</v>
      </c>
      <c r="P837" t="b">
        <v>1</v>
      </c>
      <c r="Q837" t="s">
        <v>2076</v>
      </c>
      <c r="R837">
        <v>0.71</v>
      </c>
      <c r="S837" s="2">
        <v>0.71</v>
      </c>
      <c r="T837" s="2" t="str">
        <f t="shared" si="41"/>
        <v>71% to 80%</v>
      </c>
    </row>
    <row r="838" spans="1:21" x14ac:dyDescent="0.3">
      <c r="A838" t="s">
        <v>1735</v>
      </c>
      <c r="B838" t="s">
        <v>1736</v>
      </c>
      <c r="C838" t="s">
        <v>15</v>
      </c>
      <c r="D838" t="s">
        <v>20</v>
      </c>
      <c r="E838">
        <v>27</v>
      </c>
      <c r="F838" t="str">
        <f t="shared" si="39"/>
        <v>21 to 30</v>
      </c>
      <c r="G838" t="s">
        <v>91</v>
      </c>
      <c r="H838" t="s">
        <v>59</v>
      </c>
      <c r="I838" t="s">
        <v>60</v>
      </c>
      <c r="J838">
        <v>8</v>
      </c>
      <c r="K838" t="str">
        <f t="shared" si="40"/>
        <v>0 to 10</v>
      </c>
      <c r="L838" s="1">
        <v>20</v>
      </c>
      <c r="M838" t="s">
        <v>2072</v>
      </c>
      <c r="O838">
        <v>4.8</v>
      </c>
      <c r="P838" t="s">
        <v>53</v>
      </c>
      <c r="Q838" t="s">
        <v>2077</v>
      </c>
      <c r="R838">
        <v>0.81</v>
      </c>
      <c r="S838" s="2">
        <v>0.81</v>
      </c>
      <c r="T838" s="2" t="str">
        <f t="shared" si="41"/>
        <v>81% to 90%</v>
      </c>
    </row>
    <row r="839" spans="1:21" x14ac:dyDescent="0.3">
      <c r="A839" t="s">
        <v>1737</v>
      </c>
      <c r="B839" t="s">
        <v>1738</v>
      </c>
      <c r="C839" t="s">
        <v>15</v>
      </c>
      <c r="D839" t="s">
        <v>20</v>
      </c>
      <c r="E839">
        <v>33</v>
      </c>
      <c r="F839" t="str">
        <f t="shared" si="39"/>
        <v>31 to 40</v>
      </c>
      <c r="G839" t="s">
        <v>104</v>
      </c>
      <c r="H839" t="s">
        <v>105</v>
      </c>
      <c r="I839" t="s">
        <v>52</v>
      </c>
      <c r="J839">
        <v>5</v>
      </c>
      <c r="K839" t="str">
        <f t="shared" si="40"/>
        <v>0 to 10</v>
      </c>
      <c r="L839" s="1">
        <v>50</v>
      </c>
      <c r="M839" t="s">
        <v>2065</v>
      </c>
      <c r="N839" t="s">
        <v>2071</v>
      </c>
      <c r="O839">
        <v>4.7</v>
      </c>
      <c r="P839">
        <v>1</v>
      </c>
      <c r="Q839" t="s">
        <v>2076</v>
      </c>
      <c r="R839">
        <v>0.88</v>
      </c>
      <c r="S839" s="2">
        <v>0.88</v>
      </c>
      <c r="T839" s="2" t="str">
        <f t="shared" si="41"/>
        <v>81% to 90%</v>
      </c>
    </row>
    <row r="840" spans="1:21" x14ac:dyDescent="0.3">
      <c r="A840" t="s">
        <v>1739</v>
      </c>
      <c r="B840" t="s">
        <v>1740</v>
      </c>
      <c r="C840" t="s">
        <v>15</v>
      </c>
      <c r="D840" t="s">
        <v>20</v>
      </c>
      <c r="E840">
        <v>24</v>
      </c>
      <c r="F840" t="str">
        <f t="shared" si="39"/>
        <v>21 to 30</v>
      </c>
      <c r="G840" t="s">
        <v>83</v>
      </c>
      <c r="H840" t="s">
        <v>84</v>
      </c>
      <c r="I840" t="s">
        <v>39</v>
      </c>
      <c r="J840">
        <v>6</v>
      </c>
      <c r="K840" t="str">
        <f t="shared" si="40"/>
        <v>0 to 10</v>
      </c>
      <c r="L840" s="1">
        <v>50</v>
      </c>
      <c r="M840" t="s">
        <v>2071</v>
      </c>
      <c r="O840">
        <v>1.4</v>
      </c>
      <c r="P840" t="s">
        <v>96</v>
      </c>
      <c r="Q840" t="s">
        <v>2076</v>
      </c>
      <c r="R840">
        <v>63</v>
      </c>
      <c r="S840" s="2">
        <v>0.63</v>
      </c>
      <c r="T840" s="2" t="str">
        <f t="shared" si="41"/>
        <v>61% to 70 %</v>
      </c>
      <c r="U840">
        <v>0.63</v>
      </c>
    </row>
    <row r="841" spans="1:21" x14ac:dyDescent="0.3">
      <c r="A841" t="s">
        <v>1741</v>
      </c>
      <c r="B841" t="s">
        <v>1742</v>
      </c>
      <c r="C841" t="s">
        <v>36</v>
      </c>
      <c r="D841" t="s">
        <v>20</v>
      </c>
      <c r="E841">
        <v>34</v>
      </c>
      <c r="F841" t="str">
        <f t="shared" si="39"/>
        <v>31 to 40</v>
      </c>
      <c r="G841" t="s">
        <v>101</v>
      </c>
      <c r="H841" t="s">
        <v>59</v>
      </c>
      <c r="I841" t="s">
        <v>66</v>
      </c>
      <c r="J841">
        <v>1</v>
      </c>
      <c r="K841" t="str">
        <f t="shared" si="40"/>
        <v>0 to 10</v>
      </c>
      <c r="L841" s="1">
        <v>40</v>
      </c>
      <c r="M841" t="s">
        <v>2067</v>
      </c>
      <c r="O841">
        <v>1.7</v>
      </c>
      <c r="R841">
        <v>74</v>
      </c>
      <c r="S841" s="2">
        <v>0.74</v>
      </c>
      <c r="T841" s="2" t="str">
        <f t="shared" si="41"/>
        <v>71% to 80%</v>
      </c>
      <c r="U841">
        <v>0.74</v>
      </c>
    </row>
    <row r="842" spans="1:21" x14ac:dyDescent="0.3">
      <c r="A842" t="s">
        <v>1743</v>
      </c>
      <c r="B842" t="s">
        <v>1744</v>
      </c>
      <c r="C842" t="s">
        <v>36</v>
      </c>
      <c r="D842" t="s">
        <v>20</v>
      </c>
      <c r="E842">
        <v>21</v>
      </c>
      <c r="F842" t="str">
        <f t="shared" si="39"/>
        <v>21 to 30</v>
      </c>
      <c r="G842" t="s">
        <v>87</v>
      </c>
      <c r="H842" t="s">
        <v>88</v>
      </c>
      <c r="I842" t="s">
        <v>108</v>
      </c>
      <c r="J842">
        <v>0</v>
      </c>
      <c r="K842" t="str">
        <f t="shared" si="40"/>
        <v>0 to 10</v>
      </c>
      <c r="L842" s="1">
        <v>20</v>
      </c>
      <c r="M842" t="s">
        <v>2072</v>
      </c>
      <c r="O842">
        <v>2.6</v>
      </c>
      <c r="P842" t="s">
        <v>67</v>
      </c>
      <c r="Q842" t="s">
        <v>2077</v>
      </c>
      <c r="R842">
        <v>0.64</v>
      </c>
      <c r="S842" s="2">
        <v>0.64</v>
      </c>
      <c r="T842" s="2" t="str">
        <f t="shared" si="41"/>
        <v>61% to 70 %</v>
      </c>
    </row>
    <row r="843" spans="1:21" x14ac:dyDescent="0.3">
      <c r="A843" t="s">
        <v>1745</v>
      </c>
      <c r="B843" t="s">
        <v>1746</v>
      </c>
      <c r="C843" t="s">
        <v>36</v>
      </c>
      <c r="D843" t="s">
        <v>20</v>
      </c>
      <c r="E843">
        <v>27</v>
      </c>
      <c r="F843" t="str">
        <f t="shared" si="39"/>
        <v>21 to 30</v>
      </c>
      <c r="G843" t="s">
        <v>188</v>
      </c>
      <c r="H843" t="s">
        <v>189</v>
      </c>
      <c r="I843" t="s">
        <v>39</v>
      </c>
      <c r="J843">
        <v>2</v>
      </c>
      <c r="K843" t="str">
        <f t="shared" si="40"/>
        <v>0 to 10</v>
      </c>
      <c r="L843" s="1">
        <v>40</v>
      </c>
      <c r="M843" t="s">
        <v>2065</v>
      </c>
      <c r="N843" t="s">
        <v>2067</v>
      </c>
      <c r="O843">
        <v>1.2</v>
      </c>
      <c r="P843" t="b">
        <v>0</v>
      </c>
      <c r="Q843" t="s">
        <v>2077</v>
      </c>
      <c r="T843" s="2" t="str">
        <f t="shared" si="41"/>
        <v/>
      </c>
    </row>
    <row r="844" spans="1:21" x14ac:dyDescent="0.3">
      <c r="A844" t="s">
        <v>1747</v>
      </c>
      <c r="B844" t="s">
        <v>1748</v>
      </c>
      <c r="C844" t="s">
        <v>15</v>
      </c>
      <c r="D844" t="s">
        <v>20</v>
      </c>
      <c r="E844">
        <v>60</v>
      </c>
      <c r="F844" t="str">
        <f t="shared" si="39"/>
        <v>51 to 60</v>
      </c>
      <c r="G844" t="s">
        <v>139</v>
      </c>
      <c r="H844" t="s">
        <v>59</v>
      </c>
      <c r="I844" t="s">
        <v>108</v>
      </c>
      <c r="J844">
        <v>39</v>
      </c>
      <c r="K844" t="str">
        <f t="shared" si="40"/>
        <v>31 to 40</v>
      </c>
      <c r="L844" s="1">
        <v>100</v>
      </c>
      <c r="M844" t="s">
        <v>2068</v>
      </c>
      <c r="N844" t="s">
        <v>2070</v>
      </c>
      <c r="O844">
        <v>1.5</v>
      </c>
      <c r="R844">
        <v>88</v>
      </c>
      <c r="S844" s="2">
        <v>0.88</v>
      </c>
      <c r="T844" s="2" t="str">
        <f t="shared" si="41"/>
        <v>81% to 90%</v>
      </c>
      <c r="U844">
        <v>0.88</v>
      </c>
    </row>
    <row r="845" spans="1:21" x14ac:dyDescent="0.3">
      <c r="A845" t="s">
        <v>1749</v>
      </c>
      <c r="B845" t="s">
        <v>1750</v>
      </c>
      <c r="C845" t="s">
        <v>15</v>
      </c>
      <c r="D845" t="s">
        <v>20</v>
      </c>
      <c r="E845">
        <v>52</v>
      </c>
      <c r="F845" t="str">
        <f t="shared" si="39"/>
        <v>51 to 60</v>
      </c>
      <c r="G845" t="s">
        <v>254</v>
      </c>
      <c r="H845" t="s">
        <v>255</v>
      </c>
      <c r="I845" t="s">
        <v>47</v>
      </c>
      <c r="J845">
        <v>30</v>
      </c>
      <c r="K845" t="str">
        <f t="shared" si="40"/>
        <v>21 to 30</v>
      </c>
      <c r="L845" s="1">
        <v>20</v>
      </c>
      <c r="M845" t="s">
        <v>2065</v>
      </c>
      <c r="N845" t="s">
        <v>2072</v>
      </c>
      <c r="O845">
        <v>2.8</v>
      </c>
      <c r="P845" t="s">
        <v>67</v>
      </c>
      <c r="Q845" t="s">
        <v>2077</v>
      </c>
      <c r="R845">
        <v>0.87</v>
      </c>
      <c r="S845" s="2">
        <v>0.87</v>
      </c>
      <c r="T845" s="2" t="str">
        <f t="shared" si="41"/>
        <v>81% to 90%</v>
      </c>
    </row>
    <row r="846" spans="1:21" x14ac:dyDescent="0.3">
      <c r="A846" t="s">
        <v>1751</v>
      </c>
      <c r="B846" t="s">
        <v>1752</v>
      </c>
      <c r="C846" t="s">
        <v>15</v>
      </c>
      <c r="D846" t="s">
        <v>20</v>
      </c>
      <c r="E846">
        <v>43</v>
      </c>
      <c r="F846" t="str">
        <f t="shared" si="39"/>
        <v>41 to 50</v>
      </c>
      <c r="G846" t="s">
        <v>37</v>
      </c>
      <c r="H846" t="s">
        <v>38</v>
      </c>
      <c r="I846" t="s">
        <v>79</v>
      </c>
      <c r="J846">
        <v>13</v>
      </c>
      <c r="K846" t="str">
        <f t="shared" si="40"/>
        <v>11 to 20</v>
      </c>
      <c r="L846" s="1">
        <v>20</v>
      </c>
      <c r="M846" t="s">
        <v>2068</v>
      </c>
      <c r="N846" t="s">
        <v>2072</v>
      </c>
      <c r="O846">
        <v>1.2</v>
      </c>
      <c r="P846" t="s">
        <v>96</v>
      </c>
      <c r="Q846" t="s">
        <v>2076</v>
      </c>
      <c r="R846">
        <v>69</v>
      </c>
      <c r="S846" s="2">
        <v>0.69</v>
      </c>
      <c r="T846" s="2" t="str">
        <f t="shared" si="41"/>
        <v>61% to 70 %</v>
      </c>
      <c r="U846">
        <v>0.69</v>
      </c>
    </row>
    <row r="847" spans="1:21" x14ac:dyDescent="0.3">
      <c r="A847" t="s">
        <v>1753</v>
      </c>
      <c r="B847" t="s">
        <v>1754</v>
      </c>
      <c r="C847" t="s">
        <v>15</v>
      </c>
      <c r="D847" t="s">
        <v>20</v>
      </c>
      <c r="E847">
        <v>41</v>
      </c>
      <c r="F847" t="str">
        <f t="shared" si="39"/>
        <v>41 to 50</v>
      </c>
      <c r="G847" t="s">
        <v>104</v>
      </c>
      <c r="H847" t="s">
        <v>105</v>
      </c>
      <c r="I847" t="s">
        <v>108</v>
      </c>
      <c r="J847">
        <v>21</v>
      </c>
      <c r="K847" t="str">
        <f t="shared" si="40"/>
        <v>21 to 30</v>
      </c>
      <c r="L847" s="1">
        <v>100</v>
      </c>
      <c r="M847" t="s">
        <v>2068</v>
      </c>
      <c r="N847" t="s">
        <v>2070</v>
      </c>
      <c r="O847">
        <v>2.2000000000000002</v>
      </c>
      <c r="P847">
        <v>1</v>
      </c>
      <c r="Q847" t="s">
        <v>2076</v>
      </c>
      <c r="R847">
        <v>0.83</v>
      </c>
      <c r="S847" s="2">
        <v>0.83</v>
      </c>
      <c r="T847" s="2" t="str">
        <f t="shared" si="41"/>
        <v>81% to 90%</v>
      </c>
    </row>
    <row r="848" spans="1:21" x14ac:dyDescent="0.3">
      <c r="A848" t="s">
        <v>1755</v>
      </c>
      <c r="B848" t="s">
        <v>1756</v>
      </c>
      <c r="C848" t="s">
        <v>76</v>
      </c>
      <c r="D848" t="s">
        <v>80</v>
      </c>
      <c r="E848">
        <v>51</v>
      </c>
      <c r="F848" t="str">
        <f t="shared" si="39"/>
        <v>51 to 60</v>
      </c>
      <c r="G848" t="s">
        <v>104</v>
      </c>
      <c r="H848" t="s">
        <v>105</v>
      </c>
      <c r="I848" t="s">
        <v>60</v>
      </c>
      <c r="J848">
        <v>27</v>
      </c>
      <c r="K848" t="str">
        <f t="shared" si="40"/>
        <v>21 to 30</v>
      </c>
      <c r="L848" s="1">
        <v>50</v>
      </c>
      <c r="M848" t="s">
        <v>2065</v>
      </c>
      <c r="N848" t="s">
        <v>2071</v>
      </c>
      <c r="O848">
        <v>0</v>
      </c>
      <c r="P848" t="s">
        <v>67</v>
      </c>
      <c r="Q848" t="s">
        <v>2077</v>
      </c>
      <c r="R848">
        <v>0.78</v>
      </c>
      <c r="S848" s="2">
        <v>0.78</v>
      </c>
      <c r="T848" s="2" t="str">
        <f t="shared" si="41"/>
        <v>71% to 80%</v>
      </c>
    </row>
    <row r="849" spans="1:21" x14ac:dyDescent="0.3">
      <c r="A849" t="s">
        <v>1757</v>
      </c>
      <c r="B849" t="s">
        <v>1758</v>
      </c>
      <c r="C849" t="s">
        <v>76</v>
      </c>
      <c r="D849" t="s">
        <v>80</v>
      </c>
      <c r="E849">
        <v>30</v>
      </c>
      <c r="F849" t="str">
        <f t="shared" si="39"/>
        <v>21 to 30</v>
      </c>
      <c r="G849" t="s">
        <v>83</v>
      </c>
      <c r="H849" t="s">
        <v>84</v>
      </c>
      <c r="I849" t="s">
        <v>66</v>
      </c>
      <c r="J849">
        <v>0</v>
      </c>
      <c r="K849" t="str">
        <f t="shared" si="40"/>
        <v>0 to 10</v>
      </c>
      <c r="L849" s="1">
        <v>100</v>
      </c>
      <c r="M849" t="s">
        <v>2068</v>
      </c>
      <c r="N849" t="s">
        <v>2070</v>
      </c>
      <c r="O849">
        <v>4.0999999999999996</v>
      </c>
      <c r="P849">
        <v>0</v>
      </c>
      <c r="Q849" t="s">
        <v>2077</v>
      </c>
      <c r="R849">
        <v>0.62</v>
      </c>
      <c r="S849" s="2">
        <v>0.62</v>
      </c>
      <c r="T849" s="2" t="str">
        <f t="shared" si="41"/>
        <v>61% to 70 %</v>
      </c>
    </row>
    <row r="850" spans="1:21" x14ac:dyDescent="0.3">
      <c r="A850" t="s">
        <v>1759</v>
      </c>
      <c r="B850" t="s">
        <v>1760</v>
      </c>
      <c r="C850" t="s">
        <v>76</v>
      </c>
      <c r="D850" t="s">
        <v>80</v>
      </c>
      <c r="E850">
        <v>20</v>
      </c>
      <c r="F850" t="str">
        <f t="shared" si="39"/>
        <v>11 to 20</v>
      </c>
      <c r="G850" t="s">
        <v>254</v>
      </c>
      <c r="H850" t="s">
        <v>255</v>
      </c>
      <c r="I850" t="s">
        <v>66</v>
      </c>
      <c r="J850">
        <v>1</v>
      </c>
      <c r="K850" t="str">
        <f t="shared" si="40"/>
        <v>0 to 10</v>
      </c>
      <c r="L850" s="1">
        <v>50</v>
      </c>
      <c r="M850" t="s">
        <v>2071</v>
      </c>
      <c r="O850">
        <v>3.4</v>
      </c>
      <c r="P850">
        <v>1</v>
      </c>
      <c r="Q850" t="s">
        <v>2076</v>
      </c>
      <c r="R850">
        <v>79</v>
      </c>
      <c r="S850" s="2">
        <v>0.79</v>
      </c>
      <c r="T850" s="2" t="str">
        <f t="shared" si="41"/>
        <v>71% to 80%</v>
      </c>
      <c r="U850">
        <v>0.79</v>
      </c>
    </row>
    <row r="851" spans="1:21" x14ac:dyDescent="0.3">
      <c r="A851" t="s">
        <v>1761</v>
      </c>
      <c r="B851" t="s">
        <v>1762</v>
      </c>
      <c r="C851" t="s">
        <v>76</v>
      </c>
      <c r="D851" t="s">
        <v>80</v>
      </c>
      <c r="E851">
        <v>23</v>
      </c>
      <c r="F851" t="str">
        <f t="shared" si="39"/>
        <v>21 to 30</v>
      </c>
      <c r="G851" t="s">
        <v>23</v>
      </c>
      <c r="H851" t="s">
        <v>24</v>
      </c>
      <c r="I851" t="s">
        <v>52</v>
      </c>
      <c r="K851" t="str">
        <f t="shared" si="40"/>
        <v/>
      </c>
      <c r="L851" s="1">
        <v>75</v>
      </c>
      <c r="M851" t="s">
        <v>2066</v>
      </c>
      <c r="O851">
        <v>3.6</v>
      </c>
      <c r="P851">
        <v>1</v>
      </c>
      <c r="Q851" t="s">
        <v>2076</v>
      </c>
      <c r="R851">
        <v>0.65</v>
      </c>
      <c r="S851" s="2">
        <v>0.65</v>
      </c>
      <c r="T851" s="2" t="str">
        <f t="shared" si="41"/>
        <v>61% to 70 %</v>
      </c>
    </row>
    <row r="852" spans="1:21" x14ac:dyDescent="0.3">
      <c r="A852" t="s">
        <v>1763</v>
      </c>
      <c r="B852" t="s">
        <v>1764</v>
      </c>
      <c r="C852" t="s">
        <v>111</v>
      </c>
      <c r="D852" t="s">
        <v>80</v>
      </c>
      <c r="E852">
        <v>56</v>
      </c>
      <c r="F852" t="str">
        <f t="shared" si="39"/>
        <v>51 to 60</v>
      </c>
      <c r="G852" t="s">
        <v>50</v>
      </c>
      <c r="H852" t="s">
        <v>51</v>
      </c>
      <c r="I852" t="s">
        <v>66</v>
      </c>
      <c r="J852">
        <v>3</v>
      </c>
      <c r="K852" t="str">
        <f t="shared" si="40"/>
        <v>0 to 10</v>
      </c>
      <c r="L852" s="1">
        <v>40</v>
      </c>
      <c r="M852" t="s">
        <v>2065</v>
      </c>
      <c r="N852" t="s">
        <v>2067</v>
      </c>
      <c r="O852">
        <v>1.7</v>
      </c>
      <c r="P852" t="s">
        <v>53</v>
      </c>
      <c r="Q852" t="s">
        <v>2077</v>
      </c>
      <c r="R852">
        <v>0.71</v>
      </c>
      <c r="S852" s="2">
        <v>0.71</v>
      </c>
      <c r="T852" s="2" t="str">
        <f t="shared" si="41"/>
        <v>71% to 80%</v>
      </c>
    </row>
    <row r="853" spans="1:21" x14ac:dyDescent="0.3">
      <c r="A853" t="s">
        <v>1765</v>
      </c>
      <c r="B853" t="s">
        <v>1766</v>
      </c>
      <c r="C853" t="s">
        <v>111</v>
      </c>
      <c r="D853" t="s">
        <v>80</v>
      </c>
      <c r="E853">
        <v>55</v>
      </c>
      <c r="F853" t="str">
        <f t="shared" si="39"/>
        <v>51 to 60</v>
      </c>
      <c r="G853" t="s">
        <v>91</v>
      </c>
      <c r="H853" t="s">
        <v>59</v>
      </c>
      <c r="I853" t="s">
        <v>39</v>
      </c>
      <c r="J853">
        <v>14</v>
      </c>
      <c r="K853" t="str">
        <f t="shared" si="40"/>
        <v>11 to 20</v>
      </c>
      <c r="L853" s="1">
        <v>50</v>
      </c>
      <c r="M853" t="s">
        <v>2068</v>
      </c>
      <c r="N853" t="s">
        <v>2071</v>
      </c>
      <c r="O853">
        <v>3.6</v>
      </c>
      <c r="P853">
        <v>1</v>
      </c>
      <c r="Q853" t="s">
        <v>2076</v>
      </c>
      <c r="R853">
        <v>0.81</v>
      </c>
      <c r="S853" s="2">
        <v>0.81</v>
      </c>
      <c r="T853" s="2" t="str">
        <f t="shared" si="41"/>
        <v>81% to 90%</v>
      </c>
    </row>
    <row r="854" spans="1:21" x14ac:dyDescent="0.3">
      <c r="A854" t="s">
        <v>1767</v>
      </c>
      <c r="B854" t="s">
        <v>1768</v>
      </c>
      <c r="C854" t="s">
        <v>76</v>
      </c>
      <c r="D854" t="s">
        <v>80</v>
      </c>
      <c r="E854">
        <v>47</v>
      </c>
      <c r="F854" t="str">
        <f t="shared" si="39"/>
        <v>41 to 50</v>
      </c>
      <c r="G854" t="s">
        <v>87</v>
      </c>
      <c r="H854" t="s">
        <v>88</v>
      </c>
      <c r="I854" t="s">
        <v>66</v>
      </c>
      <c r="J854">
        <v>15</v>
      </c>
      <c r="K854" t="str">
        <f t="shared" si="40"/>
        <v>11 to 20</v>
      </c>
      <c r="L854" s="1">
        <v>30</v>
      </c>
      <c r="M854" t="s">
        <v>2068</v>
      </c>
      <c r="N854" t="s">
        <v>2069</v>
      </c>
      <c r="O854">
        <v>4.5</v>
      </c>
      <c r="P854">
        <v>1</v>
      </c>
      <c r="Q854" t="s">
        <v>2076</v>
      </c>
      <c r="R854">
        <v>0.85</v>
      </c>
      <c r="S854" s="2">
        <v>0.85</v>
      </c>
      <c r="T854" s="2" t="str">
        <f t="shared" si="41"/>
        <v>81% to 90%</v>
      </c>
    </row>
    <row r="855" spans="1:21" x14ac:dyDescent="0.3">
      <c r="A855" t="s">
        <v>1769</v>
      </c>
      <c r="B855" t="s">
        <v>1770</v>
      </c>
      <c r="C855" t="s">
        <v>36</v>
      </c>
      <c r="D855" t="s">
        <v>20</v>
      </c>
      <c r="E855">
        <v>57</v>
      </c>
      <c r="F855" t="str">
        <f t="shared" si="39"/>
        <v>51 to 60</v>
      </c>
      <c r="G855" t="s">
        <v>155</v>
      </c>
      <c r="H855" t="s">
        <v>17</v>
      </c>
      <c r="I855" t="s">
        <v>47</v>
      </c>
      <c r="J855">
        <v>37</v>
      </c>
      <c r="K855" t="str">
        <f t="shared" si="40"/>
        <v>31 to 40</v>
      </c>
      <c r="L855" s="1">
        <v>30</v>
      </c>
      <c r="M855" t="s">
        <v>2069</v>
      </c>
      <c r="O855">
        <v>4.8</v>
      </c>
      <c r="P855" t="b">
        <v>0</v>
      </c>
      <c r="Q855" t="s">
        <v>2077</v>
      </c>
      <c r="T855" s="2" t="str">
        <f t="shared" si="41"/>
        <v/>
      </c>
    </row>
    <row r="856" spans="1:21" x14ac:dyDescent="0.3">
      <c r="A856" t="s">
        <v>1771</v>
      </c>
      <c r="B856" t="s">
        <v>1772</v>
      </c>
      <c r="C856" t="s">
        <v>36</v>
      </c>
      <c r="D856" t="s">
        <v>20</v>
      </c>
      <c r="E856">
        <v>25</v>
      </c>
      <c r="F856" t="str">
        <f t="shared" si="39"/>
        <v>21 to 30</v>
      </c>
      <c r="G856" t="s">
        <v>139</v>
      </c>
      <c r="H856" t="s">
        <v>59</v>
      </c>
      <c r="I856" t="s">
        <v>52</v>
      </c>
      <c r="J856">
        <v>2</v>
      </c>
      <c r="K856" t="str">
        <f t="shared" si="40"/>
        <v>0 to 10</v>
      </c>
      <c r="L856" s="1">
        <v>75</v>
      </c>
      <c r="M856" t="s">
        <v>2065</v>
      </c>
      <c r="N856" t="s">
        <v>2066</v>
      </c>
      <c r="O856">
        <v>3.7</v>
      </c>
      <c r="P856" t="s">
        <v>53</v>
      </c>
      <c r="Q856" t="s">
        <v>2077</v>
      </c>
      <c r="T856" s="2" t="str">
        <f t="shared" si="41"/>
        <v/>
      </c>
    </row>
    <row r="857" spans="1:21" x14ac:dyDescent="0.3">
      <c r="A857" t="s">
        <v>1773</v>
      </c>
      <c r="B857" t="s">
        <v>1774</v>
      </c>
      <c r="C857" t="s">
        <v>36</v>
      </c>
      <c r="D857" t="s">
        <v>20</v>
      </c>
      <c r="E857">
        <v>51</v>
      </c>
      <c r="F857" t="str">
        <f t="shared" si="39"/>
        <v>51 to 60</v>
      </c>
      <c r="G857" t="s">
        <v>77</v>
      </c>
      <c r="H857" t="s">
        <v>78</v>
      </c>
      <c r="I857" t="s">
        <v>66</v>
      </c>
      <c r="K857" t="str">
        <f t="shared" si="40"/>
        <v/>
      </c>
      <c r="O857">
        <v>2.4</v>
      </c>
      <c r="P857" t="s">
        <v>53</v>
      </c>
      <c r="Q857" t="s">
        <v>2077</v>
      </c>
      <c r="R857">
        <v>0.69</v>
      </c>
      <c r="S857" s="2">
        <v>0.69</v>
      </c>
      <c r="T857" s="2" t="str">
        <f t="shared" si="41"/>
        <v>61% to 70 %</v>
      </c>
    </row>
    <row r="858" spans="1:21" x14ac:dyDescent="0.3">
      <c r="A858" t="s">
        <v>1775</v>
      </c>
      <c r="B858" t="s">
        <v>1776</v>
      </c>
      <c r="C858" t="s">
        <v>111</v>
      </c>
      <c r="D858" t="s">
        <v>80</v>
      </c>
      <c r="E858">
        <v>35</v>
      </c>
      <c r="F858" t="str">
        <f t="shared" si="39"/>
        <v>31 to 40</v>
      </c>
      <c r="G858" t="s">
        <v>83</v>
      </c>
      <c r="H858" t="s">
        <v>84</v>
      </c>
      <c r="I858" t="s">
        <v>63</v>
      </c>
      <c r="J858">
        <v>17</v>
      </c>
      <c r="K858" t="str">
        <f t="shared" si="40"/>
        <v>11 to 20</v>
      </c>
      <c r="L858" s="1">
        <v>50</v>
      </c>
      <c r="M858" t="s">
        <v>2071</v>
      </c>
      <c r="O858">
        <v>3.1</v>
      </c>
      <c r="P858">
        <v>0</v>
      </c>
      <c r="Q858" t="s">
        <v>2077</v>
      </c>
      <c r="R858">
        <v>0.71</v>
      </c>
      <c r="S858" s="2">
        <v>0.71</v>
      </c>
      <c r="T858" s="2" t="str">
        <f t="shared" si="41"/>
        <v>71% to 80%</v>
      </c>
    </row>
    <row r="859" spans="1:21" x14ac:dyDescent="0.3">
      <c r="A859" t="s">
        <v>1777</v>
      </c>
      <c r="B859" t="s">
        <v>1778</v>
      </c>
      <c r="C859" t="s">
        <v>76</v>
      </c>
      <c r="D859" t="s">
        <v>80</v>
      </c>
      <c r="E859">
        <v>21</v>
      </c>
      <c r="F859" t="str">
        <f t="shared" si="39"/>
        <v>21 to 30</v>
      </c>
      <c r="G859" t="s">
        <v>254</v>
      </c>
      <c r="H859" t="s">
        <v>255</v>
      </c>
      <c r="I859" t="s">
        <v>60</v>
      </c>
      <c r="J859">
        <v>0</v>
      </c>
      <c r="K859" t="str">
        <f t="shared" si="40"/>
        <v>0 to 10</v>
      </c>
      <c r="O859">
        <v>0</v>
      </c>
      <c r="P859">
        <v>1</v>
      </c>
      <c r="Q859" t="s">
        <v>2076</v>
      </c>
      <c r="R859">
        <v>0.95</v>
      </c>
      <c r="S859" s="2">
        <v>0.95</v>
      </c>
      <c r="T859" s="2" t="str">
        <f t="shared" si="41"/>
        <v>91% to 100%</v>
      </c>
    </row>
    <row r="860" spans="1:21" x14ac:dyDescent="0.3">
      <c r="A860" t="s">
        <v>1779</v>
      </c>
      <c r="B860" t="s">
        <v>1780</v>
      </c>
      <c r="C860" t="s">
        <v>111</v>
      </c>
      <c r="D860" t="s">
        <v>80</v>
      </c>
      <c r="E860">
        <v>40</v>
      </c>
      <c r="F860" t="str">
        <f t="shared" si="39"/>
        <v>31 to 40</v>
      </c>
      <c r="G860" t="s">
        <v>58</v>
      </c>
      <c r="H860" t="s">
        <v>59</v>
      </c>
      <c r="I860" t="s">
        <v>52</v>
      </c>
      <c r="J860">
        <v>20</v>
      </c>
      <c r="K860" t="str">
        <f t="shared" si="40"/>
        <v>11 to 20</v>
      </c>
      <c r="L860" s="1">
        <v>20</v>
      </c>
      <c r="M860" t="s">
        <v>2072</v>
      </c>
      <c r="O860">
        <v>2.2999999999999998</v>
      </c>
      <c r="P860">
        <v>0</v>
      </c>
      <c r="Q860" t="s">
        <v>2077</v>
      </c>
      <c r="R860">
        <v>0.92</v>
      </c>
      <c r="S860" s="2">
        <v>0.92</v>
      </c>
      <c r="T860" s="2" t="str">
        <f t="shared" si="41"/>
        <v>91% to 100%</v>
      </c>
    </row>
    <row r="861" spans="1:21" x14ac:dyDescent="0.3">
      <c r="A861" t="s">
        <v>1781</v>
      </c>
      <c r="B861" t="s">
        <v>1782</v>
      </c>
      <c r="C861" t="s">
        <v>76</v>
      </c>
      <c r="D861" t="s">
        <v>80</v>
      </c>
      <c r="E861">
        <v>52</v>
      </c>
      <c r="F861" t="str">
        <f t="shared" si="39"/>
        <v>51 to 60</v>
      </c>
      <c r="G861" t="s">
        <v>31</v>
      </c>
      <c r="H861" t="s">
        <v>32</v>
      </c>
      <c r="I861" t="s">
        <v>52</v>
      </c>
      <c r="J861">
        <v>32</v>
      </c>
      <c r="K861" t="str">
        <f t="shared" si="40"/>
        <v>31 to 40</v>
      </c>
      <c r="L861" s="1">
        <v>75</v>
      </c>
      <c r="M861" t="s">
        <v>2065</v>
      </c>
      <c r="N861" t="s">
        <v>2066</v>
      </c>
      <c r="O861">
        <v>3.2</v>
      </c>
      <c r="P861">
        <v>0</v>
      </c>
      <c r="Q861" t="s">
        <v>2077</v>
      </c>
      <c r="R861">
        <v>0.79</v>
      </c>
      <c r="S861" s="2">
        <v>0.79</v>
      </c>
      <c r="T861" s="2" t="str">
        <f t="shared" si="41"/>
        <v>71% to 80%</v>
      </c>
    </row>
    <row r="862" spans="1:21" x14ac:dyDescent="0.3">
      <c r="A862" t="s">
        <v>1783</v>
      </c>
      <c r="B862" t="s">
        <v>1784</v>
      </c>
      <c r="C862" t="s">
        <v>76</v>
      </c>
      <c r="D862" t="s">
        <v>80</v>
      </c>
      <c r="E862">
        <v>28</v>
      </c>
      <c r="F862" t="str">
        <f t="shared" si="39"/>
        <v>21 to 30</v>
      </c>
      <c r="G862" t="s">
        <v>87</v>
      </c>
      <c r="H862" t="s">
        <v>88</v>
      </c>
      <c r="I862" t="s">
        <v>60</v>
      </c>
      <c r="J862">
        <v>10</v>
      </c>
      <c r="K862" t="str">
        <f t="shared" si="40"/>
        <v>0 to 10</v>
      </c>
      <c r="O862">
        <v>3.8</v>
      </c>
      <c r="P862" t="s">
        <v>19</v>
      </c>
      <c r="Q862" t="s">
        <v>2076</v>
      </c>
      <c r="R862">
        <v>0.98</v>
      </c>
      <c r="S862" s="2">
        <v>0.98</v>
      </c>
      <c r="T862" s="2" t="str">
        <f t="shared" si="41"/>
        <v>91% to 100%</v>
      </c>
    </row>
    <row r="863" spans="1:21" x14ac:dyDescent="0.3">
      <c r="A863" t="s">
        <v>1785</v>
      </c>
      <c r="B863" t="s">
        <v>1786</v>
      </c>
      <c r="C863" t="s">
        <v>76</v>
      </c>
      <c r="D863" t="s">
        <v>80</v>
      </c>
      <c r="E863">
        <v>40</v>
      </c>
      <c r="F863" t="str">
        <f t="shared" si="39"/>
        <v>31 to 40</v>
      </c>
      <c r="G863" t="s">
        <v>118</v>
      </c>
      <c r="H863" t="s">
        <v>119</v>
      </c>
      <c r="I863" t="s">
        <v>63</v>
      </c>
      <c r="J863">
        <v>2</v>
      </c>
      <c r="K863" t="str">
        <f t="shared" si="40"/>
        <v>0 to 10</v>
      </c>
      <c r="L863" s="1">
        <v>100</v>
      </c>
      <c r="M863" t="s">
        <v>2065</v>
      </c>
      <c r="N863" t="s">
        <v>2070</v>
      </c>
      <c r="O863">
        <v>0</v>
      </c>
      <c r="P863">
        <v>0</v>
      </c>
      <c r="Q863" t="s">
        <v>2077</v>
      </c>
      <c r="T863" s="2" t="str">
        <f t="shared" si="41"/>
        <v/>
      </c>
    </row>
    <row r="864" spans="1:21" x14ac:dyDescent="0.3">
      <c r="A864" t="s">
        <v>1787</v>
      </c>
      <c r="B864" t="s">
        <v>1788</v>
      </c>
      <c r="C864" t="s">
        <v>111</v>
      </c>
      <c r="D864" t="s">
        <v>80</v>
      </c>
      <c r="E864">
        <v>41</v>
      </c>
      <c r="F864" t="str">
        <f t="shared" si="39"/>
        <v>41 to 50</v>
      </c>
      <c r="G864" t="s">
        <v>42</v>
      </c>
      <c r="H864" t="s">
        <v>43</v>
      </c>
      <c r="I864" t="s">
        <v>63</v>
      </c>
      <c r="J864">
        <v>23</v>
      </c>
      <c r="K864" t="str">
        <f t="shared" si="40"/>
        <v>21 to 30</v>
      </c>
      <c r="L864" s="1">
        <v>75</v>
      </c>
      <c r="M864" t="s">
        <v>2065</v>
      </c>
      <c r="N864" t="s">
        <v>2066</v>
      </c>
      <c r="O864">
        <v>1.4</v>
      </c>
      <c r="P864">
        <v>0</v>
      </c>
      <c r="Q864" t="s">
        <v>2077</v>
      </c>
      <c r="T864" s="2" t="str">
        <f t="shared" si="41"/>
        <v/>
      </c>
    </row>
    <row r="865" spans="1:20" x14ac:dyDescent="0.3">
      <c r="A865" t="s">
        <v>1789</v>
      </c>
      <c r="B865" t="s">
        <v>1790</v>
      </c>
      <c r="C865" t="s">
        <v>111</v>
      </c>
      <c r="D865" t="s">
        <v>80</v>
      </c>
      <c r="E865">
        <v>49</v>
      </c>
      <c r="F865" t="str">
        <f t="shared" si="39"/>
        <v>41 to 50</v>
      </c>
      <c r="G865" t="s">
        <v>27</v>
      </c>
      <c r="H865" t="s">
        <v>28</v>
      </c>
      <c r="I865" t="s">
        <v>52</v>
      </c>
      <c r="J865">
        <v>24</v>
      </c>
      <c r="K865" t="str">
        <f t="shared" si="40"/>
        <v>21 to 30</v>
      </c>
      <c r="L865" s="1">
        <v>75</v>
      </c>
      <c r="M865" t="s">
        <v>2065</v>
      </c>
      <c r="N865" t="s">
        <v>2066</v>
      </c>
      <c r="O865">
        <v>3</v>
      </c>
      <c r="P865">
        <v>1</v>
      </c>
      <c r="Q865" t="s">
        <v>2076</v>
      </c>
      <c r="R865">
        <v>0.77</v>
      </c>
      <c r="S865" s="2">
        <v>0.77</v>
      </c>
      <c r="T865" s="2" t="str">
        <f t="shared" si="41"/>
        <v>71% to 80%</v>
      </c>
    </row>
    <row r="866" spans="1:20" x14ac:dyDescent="0.3">
      <c r="A866" t="s">
        <v>1791</v>
      </c>
      <c r="B866" t="s">
        <v>1792</v>
      </c>
      <c r="C866" t="s">
        <v>76</v>
      </c>
      <c r="D866" t="s">
        <v>80</v>
      </c>
      <c r="E866">
        <v>59</v>
      </c>
      <c r="F866" t="str">
        <f t="shared" si="39"/>
        <v>51 to 60</v>
      </c>
      <c r="G866" t="s">
        <v>23</v>
      </c>
      <c r="H866" t="s">
        <v>24</v>
      </c>
      <c r="I866" t="s">
        <v>52</v>
      </c>
      <c r="J866">
        <v>34</v>
      </c>
      <c r="K866" t="str">
        <f t="shared" si="40"/>
        <v>31 to 40</v>
      </c>
      <c r="L866" s="1">
        <v>100</v>
      </c>
      <c r="M866" t="s">
        <v>2070</v>
      </c>
      <c r="O866">
        <v>2</v>
      </c>
      <c r="P866">
        <v>1</v>
      </c>
      <c r="Q866" t="s">
        <v>2076</v>
      </c>
      <c r="R866">
        <v>0.79</v>
      </c>
      <c r="S866" s="2">
        <v>0.79</v>
      </c>
      <c r="T866" s="2" t="str">
        <f t="shared" si="41"/>
        <v>71% to 80%</v>
      </c>
    </row>
    <row r="867" spans="1:20" x14ac:dyDescent="0.3">
      <c r="A867" t="s">
        <v>1793</v>
      </c>
      <c r="B867" t="s">
        <v>1794</v>
      </c>
      <c r="C867" t="s">
        <v>76</v>
      </c>
      <c r="D867" t="s">
        <v>80</v>
      </c>
      <c r="E867">
        <v>29</v>
      </c>
      <c r="F867" t="str">
        <f t="shared" si="39"/>
        <v>21 to 30</v>
      </c>
      <c r="G867" t="s">
        <v>104</v>
      </c>
      <c r="H867" t="s">
        <v>105</v>
      </c>
      <c r="I867" t="s">
        <v>63</v>
      </c>
      <c r="J867">
        <v>6</v>
      </c>
      <c r="K867" t="str">
        <f t="shared" si="40"/>
        <v>0 to 10</v>
      </c>
      <c r="O867">
        <v>4.8</v>
      </c>
      <c r="P867" t="s">
        <v>53</v>
      </c>
      <c r="Q867" t="s">
        <v>2077</v>
      </c>
      <c r="R867">
        <v>0.83</v>
      </c>
      <c r="S867" s="2">
        <v>0.83</v>
      </c>
      <c r="T867" s="2" t="str">
        <f t="shared" si="41"/>
        <v>81% to 90%</v>
      </c>
    </row>
    <row r="868" spans="1:20" x14ac:dyDescent="0.3">
      <c r="A868" t="s">
        <v>1795</v>
      </c>
      <c r="B868" t="s">
        <v>1796</v>
      </c>
      <c r="C868" t="s">
        <v>76</v>
      </c>
      <c r="D868" t="s">
        <v>80</v>
      </c>
      <c r="E868">
        <v>32</v>
      </c>
      <c r="F868" t="str">
        <f t="shared" si="39"/>
        <v>31 to 40</v>
      </c>
      <c r="G868" t="s">
        <v>155</v>
      </c>
      <c r="H868" t="s">
        <v>17</v>
      </c>
      <c r="I868" t="s">
        <v>108</v>
      </c>
      <c r="J868">
        <v>1</v>
      </c>
      <c r="K868" t="str">
        <f t="shared" si="40"/>
        <v>0 to 10</v>
      </c>
      <c r="L868" s="1">
        <v>100</v>
      </c>
      <c r="M868" t="s">
        <v>2070</v>
      </c>
      <c r="O868">
        <v>4.7</v>
      </c>
      <c r="P868">
        <v>0</v>
      </c>
      <c r="Q868" t="s">
        <v>2077</v>
      </c>
      <c r="R868">
        <v>0.67</v>
      </c>
      <c r="S868" s="2">
        <v>0.67</v>
      </c>
      <c r="T868" s="2" t="str">
        <f t="shared" si="41"/>
        <v>61% to 70 %</v>
      </c>
    </row>
    <row r="869" spans="1:20" x14ac:dyDescent="0.3">
      <c r="A869" t="s">
        <v>1797</v>
      </c>
      <c r="B869" t="s">
        <v>1796</v>
      </c>
      <c r="C869" t="s">
        <v>111</v>
      </c>
      <c r="D869" t="s">
        <v>80</v>
      </c>
      <c r="E869">
        <v>33</v>
      </c>
      <c r="F869" t="str">
        <f t="shared" si="39"/>
        <v>31 to 40</v>
      </c>
      <c r="G869" t="s">
        <v>104</v>
      </c>
      <c r="H869" t="s">
        <v>105</v>
      </c>
      <c r="I869" t="s">
        <v>63</v>
      </c>
      <c r="J869">
        <v>6</v>
      </c>
      <c r="K869" t="str">
        <f t="shared" si="40"/>
        <v>0 to 10</v>
      </c>
      <c r="L869" s="1">
        <v>50</v>
      </c>
      <c r="M869" t="s">
        <v>2065</v>
      </c>
      <c r="N869" t="s">
        <v>2071</v>
      </c>
      <c r="O869">
        <v>3.1</v>
      </c>
      <c r="P869" t="s">
        <v>67</v>
      </c>
      <c r="Q869" t="s">
        <v>2077</v>
      </c>
      <c r="R869">
        <v>0.9</v>
      </c>
      <c r="S869" s="2">
        <v>0.9</v>
      </c>
      <c r="T869" s="2" t="str">
        <f t="shared" si="41"/>
        <v>81% to 90%</v>
      </c>
    </row>
    <row r="870" spans="1:20" x14ac:dyDescent="0.3">
      <c r="A870" t="s">
        <v>1798</v>
      </c>
      <c r="B870" t="s">
        <v>1799</v>
      </c>
      <c r="C870" t="s">
        <v>76</v>
      </c>
      <c r="D870" t="s">
        <v>80</v>
      </c>
      <c r="E870">
        <v>36</v>
      </c>
      <c r="F870" t="str">
        <f t="shared" si="39"/>
        <v>31 to 40</v>
      </c>
      <c r="G870" t="s">
        <v>58</v>
      </c>
      <c r="H870" t="s">
        <v>59</v>
      </c>
      <c r="I870" t="s">
        <v>60</v>
      </c>
      <c r="J870">
        <v>13</v>
      </c>
      <c r="K870" t="str">
        <f t="shared" si="40"/>
        <v>11 to 20</v>
      </c>
      <c r="L870" s="1">
        <v>30</v>
      </c>
      <c r="M870" t="s">
        <v>2069</v>
      </c>
      <c r="O870">
        <v>3.6</v>
      </c>
      <c r="P870">
        <v>0</v>
      </c>
      <c r="Q870" t="s">
        <v>2077</v>
      </c>
      <c r="R870">
        <v>0.86</v>
      </c>
      <c r="S870" s="2">
        <v>0.86</v>
      </c>
      <c r="T870" s="2" t="str">
        <f t="shared" si="41"/>
        <v>81% to 90%</v>
      </c>
    </row>
    <row r="871" spans="1:20" x14ac:dyDescent="0.3">
      <c r="A871" t="s">
        <v>1800</v>
      </c>
      <c r="B871" t="s">
        <v>1801</v>
      </c>
      <c r="C871" t="s">
        <v>76</v>
      </c>
      <c r="D871" t="s">
        <v>80</v>
      </c>
      <c r="E871">
        <v>23</v>
      </c>
      <c r="F871" t="str">
        <f t="shared" si="39"/>
        <v>21 to 30</v>
      </c>
      <c r="G871" t="s">
        <v>91</v>
      </c>
      <c r="H871" t="s">
        <v>59</v>
      </c>
      <c r="I871" t="s">
        <v>66</v>
      </c>
      <c r="J871">
        <v>5</v>
      </c>
      <c r="K871" t="str">
        <f t="shared" si="40"/>
        <v>0 to 10</v>
      </c>
      <c r="L871" s="1">
        <v>100</v>
      </c>
      <c r="M871" t="s">
        <v>2070</v>
      </c>
      <c r="O871">
        <v>3.2</v>
      </c>
      <c r="P871">
        <v>1</v>
      </c>
      <c r="Q871" t="s">
        <v>2076</v>
      </c>
      <c r="T871" s="2" t="str">
        <f t="shared" si="41"/>
        <v/>
      </c>
    </row>
    <row r="872" spans="1:20" x14ac:dyDescent="0.3">
      <c r="A872" t="s">
        <v>1802</v>
      </c>
      <c r="B872" t="s">
        <v>1803</v>
      </c>
      <c r="C872" t="s">
        <v>76</v>
      </c>
      <c r="D872" t="s">
        <v>80</v>
      </c>
      <c r="E872">
        <v>54</v>
      </c>
      <c r="F872" t="str">
        <f t="shared" si="39"/>
        <v>51 to 60</v>
      </c>
      <c r="G872" t="s">
        <v>254</v>
      </c>
      <c r="H872" t="s">
        <v>255</v>
      </c>
      <c r="I872" t="s">
        <v>52</v>
      </c>
      <c r="J872">
        <v>28</v>
      </c>
      <c r="K872" t="str">
        <f t="shared" si="40"/>
        <v>21 to 30</v>
      </c>
      <c r="L872" s="1">
        <v>40</v>
      </c>
      <c r="M872" t="s">
        <v>2068</v>
      </c>
      <c r="N872" t="s">
        <v>2067</v>
      </c>
      <c r="O872">
        <v>1.1000000000000001</v>
      </c>
      <c r="P872" t="s">
        <v>67</v>
      </c>
      <c r="Q872" t="s">
        <v>2077</v>
      </c>
      <c r="T872" s="2" t="str">
        <f t="shared" si="41"/>
        <v/>
      </c>
    </row>
    <row r="873" spans="1:20" x14ac:dyDescent="0.3">
      <c r="A873" t="s">
        <v>1804</v>
      </c>
      <c r="B873" t="s">
        <v>1805</v>
      </c>
      <c r="C873" t="s">
        <v>111</v>
      </c>
      <c r="D873" t="s">
        <v>80</v>
      </c>
      <c r="E873">
        <v>46</v>
      </c>
      <c r="F873" t="str">
        <f t="shared" si="39"/>
        <v>41 to 50</v>
      </c>
      <c r="G873" t="s">
        <v>118</v>
      </c>
      <c r="H873" t="s">
        <v>119</v>
      </c>
      <c r="I873" t="s">
        <v>33</v>
      </c>
      <c r="J873">
        <v>16</v>
      </c>
      <c r="K873" t="str">
        <f t="shared" si="40"/>
        <v>11 to 20</v>
      </c>
      <c r="L873" s="1">
        <v>75</v>
      </c>
      <c r="M873" t="s">
        <v>2066</v>
      </c>
      <c r="O873">
        <v>0</v>
      </c>
      <c r="P873" t="s">
        <v>67</v>
      </c>
      <c r="Q873" t="s">
        <v>2077</v>
      </c>
      <c r="R873">
        <v>0.94</v>
      </c>
      <c r="S873" s="2">
        <v>0.94</v>
      </c>
      <c r="T873" s="2" t="str">
        <f t="shared" si="41"/>
        <v>91% to 100%</v>
      </c>
    </row>
    <row r="874" spans="1:20" x14ac:dyDescent="0.3">
      <c r="A874" t="s">
        <v>1806</v>
      </c>
      <c r="B874" t="s">
        <v>1807</v>
      </c>
      <c r="C874" t="s">
        <v>76</v>
      </c>
      <c r="D874" t="s">
        <v>80</v>
      </c>
      <c r="E874">
        <v>21</v>
      </c>
      <c r="F874" t="str">
        <f t="shared" si="39"/>
        <v>21 to 30</v>
      </c>
      <c r="G874" t="s">
        <v>91</v>
      </c>
      <c r="H874" t="s">
        <v>59</v>
      </c>
      <c r="I874" t="s">
        <v>39</v>
      </c>
      <c r="J874">
        <v>0</v>
      </c>
      <c r="K874" t="str">
        <f t="shared" si="40"/>
        <v>0 to 10</v>
      </c>
      <c r="L874" s="1">
        <v>30</v>
      </c>
      <c r="M874" t="s">
        <v>2069</v>
      </c>
      <c r="O874">
        <v>2.7</v>
      </c>
      <c r="P874">
        <v>1</v>
      </c>
      <c r="Q874" t="s">
        <v>2076</v>
      </c>
      <c r="R874">
        <v>0.84</v>
      </c>
      <c r="S874" s="2">
        <v>0.84</v>
      </c>
      <c r="T874" s="2" t="str">
        <f t="shared" si="41"/>
        <v>81% to 90%</v>
      </c>
    </row>
    <row r="875" spans="1:20" x14ac:dyDescent="0.3">
      <c r="A875" t="s">
        <v>1808</v>
      </c>
      <c r="B875" t="s">
        <v>1809</v>
      </c>
      <c r="C875" t="s">
        <v>15</v>
      </c>
      <c r="D875" t="s">
        <v>20</v>
      </c>
      <c r="E875">
        <v>46</v>
      </c>
      <c r="F875" t="str">
        <f t="shared" si="39"/>
        <v>41 to 50</v>
      </c>
      <c r="G875" t="s">
        <v>91</v>
      </c>
      <c r="H875" t="s">
        <v>59</v>
      </c>
      <c r="I875" t="s">
        <v>39</v>
      </c>
      <c r="J875">
        <v>5</v>
      </c>
      <c r="K875" t="str">
        <f t="shared" si="40"/>
        <v>0 to 10</v>
      </c>
      <c r="L875" s="1">
        <v>30</v>
      </c>
      <c r="M875" t="s">
        <v>2065</v>
      </c>
      <c r="N875" t="s">
        <v>2069</v>
      </c>
      <c r="O875">
        <v>2.6</v>
      </c>
      <c r="P875" t="s">
        <v>67</v>
      </c>
      <c r="Q875" t="s">
        <v>2077</v>
      </c>
      <c r="R875">
        <v>0.76</v>
      </c>
      <c r="S875" s="2">
        <v>0.76</v>
      </c>
      <c r="T875" s="2" t="str">
        <f t="shared" si="41"/>
        <v>71% to 80%</v>
      </c>
    </row>
    <row r="876" spans="1:20" x14ac:dyDescent="0.3">
      <c r="A876" t="s">
        <v>1810</v>
      </c>
      <c r="B876" t="s">
        <v>1811</v>
      </c>
      <c r="C876" t="s">
        <v>36</v>
      </c>
      <c r="D876" t="s">
        <v>20</v>
      </c>
      <c r="E876">
        <v>56</v>
      </c>
      <c r="F876" t="str">
        <f t="shared" si="39"/>
        <v>51 to 60</v>
      </c>
      <c r="G876" t="s">
        <v>23</v>
      </c>
      <c r="H876" t="s">
        <v>24</v>
      </c>
      <c r="I876" t="s">
        <v>18</v>
      </c>
      <c r="K876" t="str">
        <f t="shared" si="40"/>
        <v/>
      </c>
      <c r="R876">
        <v>0.87</v>
      </c>
      <c r="S876" s="2">
        <v>0.87</v>
      </c>
      <c r="T876" s="2" t="str">
        <f t="shared" si="41"/>
        <v>81% to 90%</v>
      </c>
    </row>
    <row r="877" spans="1:20" x14ac:dyDescent="0.3">
      <c r="A877" t="s">
        <v>1812</v>
      </c>
      <c r="B877" t="s">
        <v>1813</v>
      </c>
      <c r="C877" t="s">
        <v>36</v>
      </c>
      <c r="D877" t="s">
        <v>20</v>
      </c>
      <c r="E877">
        <v>36</v>
      </c>
      <c r="F877" t="str">
        <f t="shared" si="39"/>
        <v>31 to 40</v>
      </c>
      <c r="G877" t="s">
        <v>87</v>
      </c>
      <c r="H877" t="s">
        <v>88</v>
      </c>
      <c r="I877" t="s">
        <v>18</v>
      </c>
      <c r="J877">
        <v>4</v>
      </c>
      <c r="K877" t="str">
        <f t="shared" si="40"/>
        <v>0 to 10</v>
      </c>
      <c r="L877" s="1">
        <v>40</v>
      </c>
      <c r="M877" t="s">
        <v>2067</v>
      </c>
      <c r="O877">
        <v>2.6</v>
      </c>
      <c r="P877" t="s">
        <v>67</v>
      </c>
      <c r="Q877" t="s">
        <v>2077</v>
      </c>
      <c r="R877">
        <v>0.9</v>
      </c>
      <c r="S877" s="2">
        <v>0.9</v>
      </c>
      <c r="T877" s="2" t="str">
        <f t="shared" si="41"/>
        <v>81% to 90%</v>
      </c>
    </row>
    <row r="878" spans="1:20" x14ac:dyDescent="0.3">
      <c r="A878" t="s">
        <v>1814</v>
      </c>
      <c r="B878" t="s">
        <v>1815</v>
      </c>
      <c r="C878" t="s">
        <v>36</v>
      </c>
      <c r="D878" t="s">
        <v>20</v>
      </c>
      <c r="E878">
        <v>33</v>
      </c>
      <c r="F878" t="str">
        <f t="shared" si="39"/>
        <v>31 to 40</v>
      </c>
      <c r="G878" t="s">
        <v>42</v>
      </c>
      <c r="H878" t="s">
        <v>43</v>
      </c>
      <c r="I878" t="s">
        <v>47</v>
      </c>
      <c r="K878" t="str">
        <f t="shared" si="40"/>
        <v/>
      </c>
      <c r="L878" s="1">
        <v>40</v>
      </c>
      <c r="M878" t="s">
        <v>2065</v>
      </c>
      <c r="N878" t="s">
        <v>2067</v>
      </c>
      <c r="O878">
        <v>4.3</v>
      </c>
      <c r="P878">
        <v>1</v>
      </c>
      <c r="Q878" t="s">
        <v>2076</v>
      </c>
      <c r="R878">
        <v>0.63</v>
      </c>
      <c r="S878" s="2">
        <v>0.63</v>
      </c>
      <c r="T878" s="2" t="str">
        <f t="shared" si="41"/>
        <v>61% to 70 %</v>
      </c>
    </row>
    <row r="879" spans="1:20" x14ac:dyDescent="0.3">
      <c r="A879" t="s">
        <v>1816</v>
      </c>
      <c r="B879" t="s">
        <v>1817</v>
      </c>
      <c r="C879" t="s">
        <v>15</v>
      </c>
      <c r="D879" t="s">
        <v>20</v>
      </c>
      <c r="E879">
        <v>50</v>
      </c>
      <c r="F879" t="str">
        <f t="shared" si="39"/>
        <v>41 to 50</v>
      </c>
      <c r="G879" t="s">
        <v>16</v>
      </c>
      <c r="H879" t="s">
        <v>17</v>
      </c>
      <c r="I879" t="s">
        <v>108</v>
      </c>
      <c r="J879">
        <v>28</v>
      </c>
      <c r="K879" t="str">
        <f t="shared" si="40"/>
        <v>21 to 30</v>
      </c>
      <c r="L879" s="1">
        <v>30</v>
      </c>
      <c r="M879" t="s">
        <v>2069</v>
      </c>
      <c r="O879">
        <v>1.8</v>
      </c>
      <c r="T879" s="2" t="str">
        <f t="shared" si="41"/>
        <v/>
      </c>
    </row>
    <row r="880" spans="1:20" x14ac:dyDescent="0.3">
      <c r="A880" t="s">
        <v>1818</v>
      </c>
      <c r="B880" t="s">
        <v>1819</v>
      </c>
      <c r="C880" t="s">
        <v>15</v>
      </c>
      <c r="D880" t="s">
        <v>20</v>
      </c>
      <c r="E880">
        <v>34</v>
      </c>
      <c r="F880" t="str">
        <f t="shared" si="39"/>
        <v>31 to 40</v>
      </c>
      <c r="G880" t="s">
        <v>46</v>
      </c>
      <c r="H880" t="s">
        <v>17</v>
      </c>
      <c r="I880" t="s">
        <v>52</v>
      </c>
      <c r="J880">
        <v>15</v>
      </c>
      <c r="K880" t="str">
        <f t="shared" si="40"/>
        <v>11 to 20</v>
      </c>
      <c r="L880" s="1">
        <v>75</v>
      </c>
      <c r="M880" t="s">
        <v>2066</v>
      </c>
      <c r="P880">
        <v>0</v>
      </c>
      <c r="Q880" t="s">
        <v>2077</v>
      </c>
      <c r="R880">
        <v>0.73</v>
      </c>
      <c r="S880" s="2">
        <v>0.73</v>
      </c>
      <c r="T880" s="2" t="str">
        <f t="shared" si="41"/>
        <v>71% to 80%</v>
      </c>
    </row>
    <row r="881" spans="1:21" x14ac:dyDescent="0.3">
      <c r="A881" t="s">
        <v>1820</v>
      </c>
      <c r="B881" t="s">
        <v>1821</v>
      </c>
      <c r="C881" t="s">
        <v>36</v>
      </c>
      <c r="D881" t="s">
        <v>20</v>
      </c>
      <c r="E881">
        <v>56</v>
      </c>
      <c r="F881" t="str">
        <f t="shared" si="39"/>
        <v>51 to 60</v>
      </c>
      <c r="G881" t="s">
        <v>31</v>
      </c>
      <c r="H881" t="s">
        <v>32</v>
      </c>
      <c r="I881" t="s">
        <v>66</v>
      </c>
      <c r="J881">
        <v>15</v>
      </c>
      <c r="K881" t="str">
        <f t="shared" si="40"/>
        <v>11 to 20</v>
      </c>
      <c r="L881" s="1">
        <v>75</v>
      </c>
      <c r="M881" t="s">
        <v>2068</v>
      </c>
      <c r="N881" t="s">
        <v>2066</v>
      </c>
      <c r="O881">
        <v>0</v>
      </c>
      <c r="P881" t="s">
        <v>67</v>
      </c>
      <c r="Q881" t="s">
        <v>2077</v>
      </c>
      <c r="T881" s="2" t="str">
        <f t="shared" si="41"/>
        <v/>
      </c>
    </row>
    <row r="882" spans="1:21" x14ac:dyDescent="0.3">
      <c r="A882" t="s">
        <v>1822</v>
      </c>
      <c r="B882" t="s">
        <v>1823</v>
      </c>
      <c r="C882" t="s">
        <v>15</v>
      </c>
      <c r="D882" t="s">
        <v>20</v>
      </c>
      <c r="E882">
        <v>26</v>
      </c>
      <c r="F882" t="str">
        <f t="shared" si="39"/>
        <v>21 to 30</v>
      </c>
      <c r="G882" t="s">
        <v>139</v>
      </c>
      <c r="H882" t="s">
        <v>59</v>
      </c>
      <c r="I882" t="s">
        <v>18</v>
      </c>
      <c r="J882">
        <v>4</v>
      </c>
      <c r="K882" t="str">
        <f t="shared" si="40"/>
        <v>0 to 10</v>
      </c>
      <c r="O882">
        <v>4</v>
      </c>
      <c r="P882" t="b">
        <v>1</v>
      </c>
      <c r="Q882" t="s">
        <v>2076</v>
      </c>
      <c r="R882">
        <v>0.76</v>
      </c>
      <c r="S882" s="2">
        <v>0.76</v>
      </c>
      <c r="T882" s="2" t="str">
        <f t="shared" si="41"/>
        <v>71% to 80%</v>
      </c>
    </row>
    <row r="883" spans="1:21" x14ac:dyDescent="0.3">
      <c r="A883" t="s">
        <v>1824</v>
      </c>
      <c r="B883" t="s">
        <v>1825</v>
      </c>
      <c r="C883" t="s">
        <v>36</v>
      </c>
      <c r="D883" t="s">
        <v>20</v>
      </c>
      <c r="E883">
        <v>41</v>
      </c>
      <c r="F883" t="str">
        <f t="shared" si="39"/>
        <v>41 to 50</v>
      </c>
      <c r="G883" t="s">
        <v>37</v>
      </c>
      <c r="H883" t="s">
        <v>38</v>
      </c>
      <c r="I883" t="s">
        <v>79</v>
      </c>
      <c r="J883">
        <v>15</v>
      </c>
      <c r="K883" t="str">
        <f t="shared" si="40"/>
        <v>11 to 20</v>
      </c>
      <c r="O883">
        <v>3.8</v>
      </c>
      <c r="P883">
        <v>1</v>
      </c>
      <c r="Q883" t="s">
        <v>2076</v>
      </c>
      <c r="T883" s="2" t="str">
        <f t="shared" si="41"/>
        <v/>
      </c>
    </row>
    <row r="884" spans="1:21" x14ac:dyDescent="0.3">
      <c r="A884" t="s">
        <v>1826</v>
      </c>
      <c r="B884" t="s">
        <v>1827</v>
      </c>
      <c r="C884" t="s">
        <v>15</v>
      </c>
      <c r="D884" t="s">
        <v>20</v>
      </c>
      <c r="E884">
        <v>45</v>
      </c>
      <c r="F884" t="str">
        <f t="shared" si="39"/>
        <v>41 to 50</v>
      </c>
      <c r="G884" t="s">
        <v>155</v>
      </c>
      <c r="H884" t="s">
        <v>17</v>
      </c>
      <c r="I884" t="s">
        <v>60</v>
      </c>
      <c r="J884">
        <v>19</v>
      </c>
      <c r="K884" t="str">
        <f t="shared" si="40"/>
        <v>11 to 20</v>
      </c>
      <c r="L884" s="1">
        <v>75</v>
      </c>
      <c r="M884" t="s">
        <v>2066</v>
      </c>
      <c r="O884">
        <v>0</v>
      </c>
      <c r="P884" t="s">
        <v>67</v>
      </c>
      <c r="Q884" t="s">
        <v>2077</v>
      </c>
      <c r="R884">
        <v>0.72</v>
      </c>
      <c r="S884" s="2">
        <v>0.72</v>
      </c>
      <c r="T884" s="2" t="str">
        <f t="shared" si="41"/>
        <v>71% to 80%</v>
      </c>
    </row>
    <row r="885" spans="1:21" x14ac:dyDescent="0.3">
      <c r="A885" t="s">
        <v>1828</v>
      </c>
      <c r="B885" t="s">
        <v>1829</v>
      </c>
      <c r="C885" t="s">
        <v>36</v>
      </c>
      <c r="D885" t="s">
        <v>20</v>
      </c>
      <c r="E885">
        <v>32</v>
      </c>
      <c r="F885" t="str">
        <f t="shared" si="39"/>
        <v>31 to 40</v>
      </c>
      <c r="G885" t="s">
        <v>31</v>
      </c>
      <c r="H885" t="s">
        <v>32</v>
      </c>
      <c r="I885" t="s">
        <v>79</v>
      </c>
      <c r="J885">
        <v>14</v>
      </c>
      <c r="K885" t="str">
        <f t="shared" si="40"/>
        <v>11 to 20</v>
      </c>
      <c r="P885">
        <v>0</v>
      </c>
      <c r="Q885" t="s">
        <v>2077</v>
      </c>
      <c r="R885">
        <v>0.96</v>
      </c>
      <c r="S885" s="2">
        <v>0.96</v>
      </c>
      <c r="T885" s="2" t="str">
        <f t="shared" si="41"/>
        <v>91% to 100%</v>
      </c>
    </row>
    <row r="886" spans="1:21" x14ac:dyDescent="0.3">
      <c r="A886" t="s">
        <v>1830</v>
      </c>
      <c r="B886" t="s">
        <v>1831</v>
      </c>
      <c r="C886" t="s">
        <v>15</v>
      </c>
      <c r="D886" t="s">
        <v>20</v>
      </c>
      <c r="E886">
        <v>23</v>
      </c>
      <c r="F886" t="str">
        <f t="shared" si="39"/>
        <v>21 to 30</v>
      </c>
      <c r="G886" t="s">
        <v>139</v>
      </c>
      <c r="H886" t="s">
        <v>59</v>
      </c>
      <c r="I886" t="s">
        <v>18</v>
      </c>
      <c r="J886">
        <v>4</v>
      </c>
      <c r="K886" t="str">
        <f t="shared" si="40"/>
        <v>0 to 10</v>
      </c>
      <c r="L886" s="1">
        <v>100</v>
      </c>
      <c r="M886" t="s">
        <v>2065</v>
      </c>
      <c r="N886" t="s">
        <v>2070</v>
      </c>
      <c r="O886">
        <v>2.2000000000000002</v>
      </c>
      <c r="P886">
        <v>1</v>
      </c>
      <c r="Q886" t="s">
        <v>2076</v>
      </c>
      <c r="R886">
        <v>64</v>
      </c>
      <c r="S886" s="2">
        <v>0.64</v>
      </c>
      <c r="T886" s="2" t="str">
        <f t="shared" si="41"/>
        <v>61% to 70 %</v>
      </c>
      <c r="U886">
        <v>0.64</v>
      </c>
    </row>
    <row r="887" spans="1:21" x14ac:dyDescent="0.3">
      <c r="A887" t="s">
        <v>1832</v>
      </c>
      <c r="B887" t="s">
        <v>1833</v>
      </c>
      <c r="C887" t="s">
        <v>36</v>
      </c>
      <c r="D887" t="s">
        <v>20</v>
      </c>
      <c r="E887">
        <v>21</v>
      </c>
      <c r="F887" t="str">
        <f t="shared" si="39"/>
        <v>21 to 30</v>
      </c>
      <c r="G887" t="s">
        <v>58</v>
      </c>
      <c r="H887" t="s">
        <v>59</v>
      </c>
      <c r="I887" t="s">
        <v>52</v>
      </c>
      <c r="J887">
        <v>3</v>
      </c>
      <c r="K887" t="str">
        <f t="shared" si="40"/>
        <v>0 to 10</v>
      </c>
      <c r="L887" s="1">
        <v>40</v>
      </c>
      <c r="M887" t="s">
        <v>2067</v>
      </c>
      <c r="O887">
        <v>0</v>
      </c>
      <c r="P887">
        <v>0</v>
      </c>
      <c r="Q887" t="s">
        <v>2077</v>
      </c>
      <c r="R887">
        <v>0.87</v>
      </c>
      <c r="S887" s="2">
        <v>0.87</v>
      </c>
      <c r="T887" s="2" t="str">
        <f t="shared" si="41"/>
        <v>81% to 90%</v>
      </c>
    </row>
    <row r="888" spans="1:21" x14ac:dyDescent="0.3">
      <c r="A888" t="s">
        <v>1834</v>
      </c>
      <c r="B888" t="s">
        <v>1835</v>
      </c>
      <c r="C888" t="s">
        <v>36</v>
      </c>
      <c r="D888" t="s">
        <v>20</v>
      </c>
      <c r="E888">
        <v>34</v>
      </c>
      <c r="F888" t="str">
        <f t="shared" si="39"/>
        <v>31 to 40</v>
      </c>
      <c r="G888" t="s">
        <v>91</v>
      </c>
      <c r="H888" t="s">
        <v>59</v>
      </c>
      <c r="I888" t="s">
        <v>60</v>
      </c>
      <c r="J888">
        <v>4</v>
      </c>
      <c r="K888" t="str">
        <f t="shared" si="40"/>
        <v>0 to 10</v>
      </c>
      <c r="L888" s="1">
        <v>75</v>
      </c>
      <c r="M888" t="s">
        <v>2066</v>
      </c>
      <c r="O888">
        <v>4</v>
      </c>
      <c r="P888">
        <v>1</v>
      </c>
      <c r="Q888" t="s">
        <v>2076</v>
      </c>
      <c r="T888" s="2" t="str">
        <f t="shared" si="41"/>
        <v/>
      </c>
    </row>
    <row r="889" spans="1:21" x14ac:dyDescent="0.3">
      <c r="A889" t="s">
        <v>1836</v>
      </c>
      <c r="B889" t="s">
        <v>1837</v>
      </c>
      <c r="C889" t="s">
        <v>76</v>
      </c>
      <c r="D889" t="s">
        <v>80</v>
      </c>
      <c r="E889">
        <v>21</v>
      </c>
      <c r="F889" t="str">
        <f t="shared" si="39"/>
        <v>21 to 30</v>
      </c>
      <c r="G889" t="s">
        <v>87</v>
      </c>
      <c r="H889" t="s">
        <v>88</v>
      </c>
      <c r="I889" t="s">
        <v>79</v>
      </c>
      <c r="J889">
        <v>0</v>
      </c>
      <c r="K889" t="str">
        <f t="shared" si="40"/>
        <v>0 to 10</v>
      </c>
      <c r="L889" s="1">
        <v>20</v>
      </c>
      <c r="M889" t="s">
        <v>2072</v>
      </c>
      <c r="O889">
        <v>1.8</v>
      </c>
      <c r="P889" t="s">
        <v>53</v>
      </c>
      <c r="Q889" t="s">
        <v>2077</v>
      </c>
      <c r="R889">
        <v>0.91</v>
      </c>
      <c r="S889" s="2">
        <v>0.91</v>
      </c>
      <c r="T889" s="2" t="str">
        <f t="shared" si="41"/>
        <v>91% to 100%</v>
      </c>
    </row>
    <row r="890" spans="1:21" x14ac:dyDescent="0.3">
      <c r="A890" t="s">
        <v>1838</v>
      </c>
      <c r="B890" t="s">
        <v>1839</v>
      </c>
      <c r="C890" t="s">
        <v>76</v>
      </c>
      <c r="D890" t="s">
        <v>80</v>
      </c>
      <c r="E890">
        <v>42</v>
      </c>
      <c r="F890" t="str">
        <f t="shared" si="39"/>
        <v>41 to 50</v>
      </c>
      <c r="G890" t="s">
        <v>158</v>
      </c>
      <c r="H890" t="s">
        <v>159</v>
      </c>
      <c r="I890" t="s">
        <v>66</v>
      </c>
      <c r="J890">
        <v>22</v>
      </c>
      <c r="K890" t="str">
        <f t="shared" si="40"/>
        <v>21 to 30</v>
      </c>
      <c r="O890">
        <v>2.9</v>
      </c>
      <c r="P890">
        <v>0</v>
      </c>
      <c r="Q890" t="s">
        <v>2077</v>
      </c>
      <c r="R890">
        <v>0.61</v>
      </c>
      <c r="S890" s="2">
        <v>0.61</v>
      </c>
      <c r="T890" s="2" t="str">
        <f t="shared" si="41"/>
        <v>61% to 70 %</v>
      </c>
    </row>
    <row r="891" spans="1:21" x14ac:dyDescent="0.3">
      <c r="A891" t="s">
        <v>1840</v>
      </c>
      <c r="B891" t="s">
        <v>1841</v>
      </c>
      <c r="C891" t="s">
        <v>36</v>
      </c>
      <c r="D891" t="s">
        <v>20</v>
      </c>
      <c r="E891">
        <v>21</v>
      </c>
      <c r="F891" t="str">
        <f t="shared" si="39"/>
        <v>21 to 30</v>
      </c>
      <c r="G891" t="s">
        <v>158</v>
      </c>
      <c r="H891" t="s">
        <v>159</v>
      </c>
      <c r="I891" t="s">
        <v>33</v>
      </c>
      <c r="J891">
        <v>0</v>
      </c>
      <c r="K891" t="str">
        <f t="shared" si="40"/>
        <v>0 to 10</v>
      </c>
      <c r="L891" s="1">
        <v>40</v>
      </c>
      <c r="M891" t="s">
        <v>2068</v>
      </c>
      <c r="N891" t="s">
        <v>2067</v>
      </c>
      <c r="O891">
        <v>3.7</v>
      </c>
      <c r="P891">
        <v>0</v>
      </c>
      <c r="Q891" t="s">
        <v>2077</v>
      </c>
      <c r="R891">
        <v>0.74</v>
      </c>
      <c r="S891" s="2">
        <v>0.74</v>
      </c>
      <c r="T891" s="2" t="str">
        <f t="shared" si="41"/>
        <v>71% to 80%</v>
      </c>
    </row>
    <row r="892" spans="1:21" x14ac:dyDescent="0.3">
      <c r="A892" t="s">
        <v>1842</v>
      </c>
      <c r="B892" t="s">
        <v>1843</v>
      </c>
      <c r="C892" t="s">
        <v>15</v>
      </c>
      <c r="D892" t="s">
        <v>20</v>
      </c>
      <c r="E892">
        <v>37</v>
      </c>
      <c r="F892" t="str">
        <f t="shared" si="39"/>
        <v>31 to 40</v>
      </c>
      <c r="G892" t="s">
        <v>27</v>
      </c>
      <c r="H892" t="s">
        <v>28</v>
      </c>
      <c r="I892" t="s">
        <v>47</v>
      </c>
      <c r="K892" t="str">
        <f t="shared" si="40"/>
        <v/>
      </c>
      <c r="O892">
        <v>1.7</v>
      </c>
      <c r="P892" t="s">
        <v>19</v>
      </c>
      <c r="Q892" t="s">
        <v>2076</v>
      </c>
      <c r="R892">
        <v>0.63</v>
      </c>
      <c r="S892" s="2">
        <v>0.63</v>
      </c>
      <c r="T892" s="2" t="str">
        <f t="shared" si="41"/>
        <v>61% to 70 %</v>
      </c>
    </row>
    <row r="893" spans="1:21" x14ac:dyDescent="0.3">
      <c r="A893" t="s">
        <v>1844</v>
      </c>
      <c r="B893" t="s">
        <v>1845</v>
      </c>
      <c r="C893" t="s">
        <v>76</v>
      </c>
      <c r="D893" t="s">
        <v>80</v>
      </c>
      <c r="E893">
        <v>53</v>
      </c>
      <c r="F893" t="str">
        <f t="shared" si="39"/>
        <v>51 to 60</v>
      </c>
      <c r="G893" t="s">
        <v>155</v>
      </c>
      <c r="H893" t="s">
        <v>17</v>
      </c>
      <c r="I893" t="s">
        <v>66</v>
      </c>
      <c r="J893">
        <v>8</v>
      </c>
      <c r="K893" t="str">
        <f t="shared" si="40"/>
        <v>0 to 10</v>
      </c>
      <c r="L893" s="1">
        <v>20</v>
      </c>
      <c r="M893" t="s">
        <v>2072</v>
      </c>
      <c r="O893">
        <v>2.8</v>
      </c>
      <c r="P893" t="b">
        <v>1</v>
      </c>
      <c r="Q893" t="s">
        <v>2076</v>
      </c>
      <c r="T893" s="2" t="str">
        <f t="shared" si="41"/>
        <v/>
      </c>
    </row>
    <row r="894" spans="1:21" x14ac:dyDescent="0.3">
      <c r="A894" t="s">
        <v>1846</v>
      </c>
      <c r="B894" t="s">
        <v>1847</v>
      </c>
      <c r="C894" t="s">
        <v>111</v>
      </c>
      <c r="D894" t="s">
        <v>80</v>
      </c>
      <c r="E894">
        <v>47</v>
      </c>
      <c r="F894" t="str">
        <f t="shared" si="39"/>
        <v>41 to 50</v>
      </c>
      <c r="G894" t="s">
        <v>23</v>
      </c>
      <c r="H894" t="s">
        <v>24</v>
      </c>
      <c r="I894" t="s">
        <v>60</v>
      </c>
      <c r="J894">
        <v>22</v>
      </c>
      <c r="K894" t="str">
        <f t="shared" si="40"/>
        <v>21 to 30</v>
      </c>
      <c r="O894">
        <v>1.4</v>
      </c>
      <c r="P894" t="s">
        <v>19</v>
      </c>
      <c r="Q894" t="s">
        <v>2076</v>
      </c>
      <c r="R894">
        <v>0.72</v>
      </c>
      <c r="S894" s="2">
        <v>0.72</v>
      </c>
      <c r="T894" s="2" t="str">
        <f t="shared" si="41"/>
        <v>71% to 80%</v>
      </c>
    </row>
    <row r="895" spans="1:21" x14ac:dyDescent="0.3">
      <c r="A895" t="s">
        <v>1848</v>
      </c>
      <c r="B895" t="s">
        <v>1849</v>
      </c>
      <c r="C895" t="s">
        <v>76</v>
      </c>
      <c r="D895" t="s">
        <v>80</v>
      </c>
      <c r="E895">
        <v>36</v>
      </c>
      <c r="F895" t="str">
        <f t="shared" si="39"/>
        <v>31 to 40</v>
      </c>
      <c r="G895" t="s">
        <v>254</v>
      </c>
      <c r="H895" t="s">
        <v>255</v>
      </c>
      <c r="I895" t="s">
        <v>63</v>
      </c>
      <c r="J895">
        <v>0</v>
      </c>
      <c r="K895" t="str">
        <f t="shared" si="40"/>
        <v>0 to 10</v>
      </c>
      <c r="L895" s="1">
        <v>20</v>
      </c>
      <c r="M895" t="s">
        <v>2072</v>
      </c>
      <c r="O895">
        <v>1.3</v>
      </c>
      <c r="P895" t="s">
        <v>96</v>
      </c>
      <c r="Q895" t="s">
        <v>2076</v>
      </c>
      <c r="R895">
        <v>0.64</v>
      </c>
      <c r="S895" s="2">
        <v>0.64</v>
      </c>
      <c r="T895" s="2" t="str">
        <f t="shared" si="41"/>
        <v>61% to 70 %</v>
      </c>
    </row>
    <row r="896" spans="1:21" x14ac:dyDescent="0.3">
      <c r="A896" t="s">
        <v>1850</v>
      </c>
      <c r="B896" t="s">
        <v>1851</v>
      </c>
      <c r="C896" t="s">
        <v>111</v>
      </c>
      <c r="D896" t="s">
        <v>80</v>
      </c>
      <c r="E896">
        <v>45</v>
      </c>
      <c r="F896" t="str">
        <f t="shared" si="39"/>
        <v>41 to 50</v>
      </c>
      <c r="G896" t="s">
        <v>58</v>
      </c>
      <c r="H896" t="s">
        <v>59</v>
      </c>
      <c r="I896" t="s">
        <v>60</v>
      </c>
      <c r="J896">
        <v>14</v>
      </c>
      <c r="K896" t="str">
        <f t="shared" si="40"/>
        <v>11 to 20</v>
      </c>
      <c r="L896" s="1">
        <v>100</v>
      </c>
      <c r="M896" t="s">
        <v>2068</v>
      </c>
      <c r="N896" t="s">
        <v>2070</v>
      </c>
      <c r="O896">
        <v>1.1000000000000001</v>
      </c>
      <c r="P896" t="s">
        <v>67</v>
      </c>
      <c r="Q896" t="s">
        <v>2077</v>
      </c>
      <c r="R896">
        <v>93</v>
      </c>
      <c r="S896" s="2">
        <v>0.93</v>
      </c>
      <c r="T896" s="2" t="str">
        <f t="shared" si="41"/>
        <v>91% to 100%</v>
      </c>
      <c r="U896">
        <v>0.93</v>
      </c>
    </row>
    <row r="897" spans="1:21" x14ac:dyDescent="0.3">
      <c r="A897" t="s">
        <v>1852</v>
      </c>
      <c r="B897" t="s">
        <v>1853</v>
      </c>
      <c r="C897" t="s">
        <v>111</v>
      </c>
      <c r="D897" t="s">
        <v>80</v>
      </c>
      <c r="E897">
        <v>50</v>
      </c>
      <c r="F897" t="str">
        <f t="shared" si="39"/>
        <v>41 to 50</v>
      </c>
      <c r="G897" t="s">
        <v>23</v>
      </c>
      <c r="H897" t="s">
        <v>24</v>
      </c>
      <c r="I897" t="s">
        <v>79</v>
      </c>
      <c r="J897">
        <v>28</v>
      </c>
      <c r="K897" t="str">
        <f t="shared" si="40"/>
        <v>21 to 30</v>
      </c>
      <c r="L897" s="1">
        <v>100</v>
      </c>
      <c r="M897" t="s">
        <v>2065</v>
      </c>
      <c r="N897" t="s">
        <v>2070</v>
      </c>
      <c r="O897">
        <v>4.9000000000000004</v>
      </c>
      <c r="P897" t="s">
        <v>96</v>
      </c>
      <c r="Q897" t="s">
        <v>2076</v>
      </c>
      <c r="R897">
        <v>0.86</v>
      </c>
      <c r="S897" s="2">
        <v>0.86</v>
      </c>
      <c r="T897" s="2" t="str">
        <f t="shared" si="41"/>
        <v>81% to 90%</v>
      </c>
    </row>
    <row r="898" spans="1:21" x14ac:dyDescent="0.3">
      <c r="A898" t="s">
        <v>1854</v>
      </c>
      <c r="B898" t="s">
        <v>1855</v>
      </c>
      <c r="C898" t="s">
        <v>76</v>
      </c>
      <c r="D898" t="s">
        <v>80</v>
      </c>
      <c r="E898">
        <v>53</v>
      </c>
      <c r="F898" t="str">
        <f t="shared" ref="F898:F961" si="42">IF(OR($E898="",NOT(ISNUMBER($E898))),"",
 IF($E898&lt;=20,"11 to 20",
 IF($E898&lt;=30,"21 to 30",
 IF($E898&lt;=40,"31 to 40",
 IF($E898&lt;=50,"41 to 50",
 IF($E898&lt;=60,"51 to 60"))))))</f>
        <v>51 to 60</v>
      </c>
      <c r="G898" t="s">
        <v>188</v>
      </c>
      <c r="H898" t="s">
        <v>189</v>
      </c>
      <c r="I898" t="s">
        <v>47</v>
      </c>
      <c r="J898">
        <v>26</v>
      </c>
      <c r="K898" t="str">
        <f t="shared" ref="K898:K961" si="43">IF(OR($J898="",NOT(ISNUMBER($J898))),"",
 IF($J898&lt;=10,"0 to 10",
 IF($J898&lt;=20,"11 to 20",
 IF($J898&lt;=30,"21 to 30",
 IF($J898&lt;=40,"31 to 40",
 "40+")))))</f>
        <v>21 to 30</v>
      </c>
      <c r="L898" s="1">
        <v>75</v>
      </c>
      <c r="M898" t="s">
        <v>2066</v>
      </c>
      <c r="O898">
        <v>2.4</v>
      </c>
      <c r="P898" t="s">
        <v>19</v>
      </c>
      <c r="Q898" t="s">
        <v>2076</v>
      </c>
      <c r="T898" s="2" t="str">
        <f t="shared" ref="T898:T961" si="44">IF(OR($S898="",NOT(ISNUMBER($S898))),"",
 IF($S898&lt;=0.6,"50% to 60%",
 IF($S898&lt;=0.7,"61% to 70 %",
 IF($S898&lt;=0.8,"71% to 80%",
 IF($S898&lt;=0.9,"81% to 90%",
 IF($S898&lt;=1,"91% to 100%"))))))</f>
        <v/>
      </c>
    </row>
    <row r="899" spans="1:21" x14ac:dyDescent="0.3">
      <c r="A899" t="s">
        <v>1856</v>
      </c>
      <c r="B899" t="s">
        <v>1857</v>
      </c>
      <c r="C899" t="s">
        <v>76</v>
      </c>
      <c r="D899" t="s">
        <v>80</v>
      </c>
      <c r="E899">
        <v>41</v>
      </c>
      <c r="F899" t="str">
        <f t="shared" si="42"/>
        <v>41 to 50</v>
      </c>
      <c r="G899" t="s">
        <v>101</v>
      </c>
      <c r="H899" t="s">
        <v>59</v>
      </c>
      <c r="I899" t="s">
        <v>18</v>
      </c>
      <c r="J899">
        <v>14</v>
      </c>
      <c r="K899" t="str">
        <f t="shared" si="43"/>
        <v>11 to 20</v>
      </c>
      <c r="L899" s="1">
        <v>30</v>
      </c>
      <c r="M899" t="s">
        <v>2069</v>
      </c>
      <c r="O899">
        <v>0</v>
      </c>
      <c r="P899" t="s">
        <v>96</v>
      </c>
      <c r="Q899" t="s">
        <v>2076</v>
      </c>
      <c r="R899">
        <v>0.78</v>
      </c>
      <c r="S899" s="2">
        <v>0.78</v>
      </c>
      <c r="T899" s="2" t="str">
        <f t="shared" si="44"/>
        <v>71% to 80%</v>
      </c>
    </row>
    <row r="900" spans="1:21" x14ac:dyDescent="0.3">
      <c r="A900" t="s">
        <v>1858</v>
      </c>
      <c r="B900" t="s">
        <v>1859</v>
      </c>
      <c r="C900" t="s">
        <v>76</v>
      </c>
      <c r="D900" t="s">
        <v>80</v>
      </c>
      <c r="E900">
        <v>48</v>
      </c>
      <c r="F900" t="str">
        <f t="shared" si="42"/>
        <v>41 to 50</v>
      </c>
      <c r="G900" t="s">
        <v>23</v>
      </c>
      <c r="H900" t="s">
        <v>24</v>
      </c>
      <c r="I900" t="s">
        <v>52</v>
      </c>
      <c r="J900">
        <v>28</v>
      </c>
      <c r="K900" t="str">
        <f t="shared" si="43"/>
        <v>21 to 30</v>
      </c>
      <c r="L900" s="1">
        <v>20</v>
      </c>
      <c r="M900" t="s">
        <v>2068</v>
      </c>
      <c r="N900" t="s">
        <v>2072</v>
      </c>
      <c r="O900">
        <v>0</v>
      </c>
      <c r="P900">
        <v>0</v>
      </c>
      <c r="Q900" t="s">
        <v>2077</v>
      </c>
      <c r="R900">
        <v>0.88</v>
      </c>
      <c r="S900" s="2">
        <v>0.88</v>
      </c>
      <c r="T900" s="2" t="str">
        <f t="shared" si="44"/>
        <v>81% to 90%</v>
      </c>
    </row>
    <row r="901" spans="1:21" x14ac:dyDescent="0.3">
      <c r="A901" t="s">
        <v>1860</v>
      </c>
      <c r="B901" t="s">
        <v>1861</v>
      </c>
      <c r="C901" t="s">
        <v>111</v>
      </c>
      <c r="D901" t="s">
        <v>80</v>
      </c>
      <c r="E901">
        <v>26</v>
      </c>
      <c r="F901" t="str">
        <f t="shared" si="42"/>
        <v>21 to 30</v>
      </c>
      <c r="G901" t="s">
        <v>254</v>
      </c>
      <c r="H901" t="s">
        <v>255</v>
      </c>
      <c r="I901" t="s">
        <v>66</v>
      </c>
      <c r="J901">
        <v>7</v>
      </c>
      <c r="K901" t="str">
        <f t="shared" si="43"/>
        <v>0 to 10</v>
      </c>
      <c r="L901" s="1">
        <v>100</v>
      </c>
      <c r="M901" t="s">
        <v>2068</v>
      </c>
      <c r="N901" t="s">
        <v>2070</v>
      </c>
      <c r="O901">
        <v>3.3</v>
      </c>
      <c r="P901" t="s">
        <v>19</v>
      </c>
      <c r="Q901" t="s">
        <v>2076</v>
      </c>
      <c r="R901">
        <v>0.66</v>
      </c>
      <c r="S901" s="2">
        <v>0.66</v>
      </c>
      <c r="T901" s="2" t="str">
        <f t="shared" si="44"/>
        <v>61% to 70 %</v>
      </c>
    </row>
    <row r="902" spans="1:21" x14ac:dyDescent="0.3">
      <c r="A902" t="s">
        <v>1862</v>
      </c>
      <c r="B902" t="s">
        <v>1863</v>
      </c>
      <c r="C902" t="s">
        <v>111</v>
      </c>
      <c r="D902" t="s">
        <v>80</v>
      </c>
      <c r="E902">
        <v>50</v>
      </c>
      <c r="F902" t="str">
        <f t="shared" si="42"/>
        <v>41 to 50</v>
      </c>
      <c r="G902" t="s">
        <v>50</v>
      </c>
      <c r="H902" t="s">
        <v>51</v>
      </c>
      <c r="I902" t="s">
        <v>66</v>
      </c>
      <c r="J902">
        <v>30</v>
      </c>
      <c r="K902" t="str">
        <f t="shared" si="43"/>
        <v>21 to 30</v>
      </c>
      <c r="L902" s="1">
        <v>100</v>
      </c>
      <c r="M902" t="s">
        <v>2070</v>
      </c>
      <c r="O902">
        <v>3</v>
      </c>
      <c r="P902">
        <v>1</v>
      </c>
      <c r="Q902" t="s">
        <v>2076</v>
      </c>
      <c r="R902">
        <v>0.73</v>
      </c>
      <c r="S902" s="2">
        <v>0.73</v>
      </c>
      <c r="T902" s="2" t="str">
        <f t="shared" si="44"/>
        <v>71% to 80%</v>
      </c>
    </row>
    <row r="903" spans="1:21" x14ac:dyDescent="0.3">
      <c r="A903" t="s">
        <v>1864</v>
      </c>
      <c r="B903" t="s">
        <v>1865</v>
      </c>
      <c r="C903" t="s">
        <v>76</v>
      </c>
      <c r="D903" t="s">
        <v>80</v>
      </c>
      <c r="E903">
        <v>36</v>
      </c>
      <c r="F903" t="str">
        <f t="shared" si="42"/>
        <v>31 to 40</v>
      </c>
      <c r="G903" t="s">
        <v>104</v>
      </c>
      <c r="H903" t="s">
        <v>105</v>
      </c>
      <c r="I903" t="s">
        <v>108</v>
      </c>
      <c r="J903">
        <v>17</v>
      </c>
      <c r="K903" t="str">
        <f t="shared" si="43"/>
        <v>11 to 20</v>
      </c>
      <c r="L903" s="1">
        <v>50</v>
      </c>
      <c r="M903" t="s">
        <v>2071</v>
      </c>
      <c r="O903">
        <v>1.3</v>
      </c>
      <c r="R903">
        <v>0.64</v>
      </c>
      <c r="S903" s="2">
        <v>0.64</v>
      </c>
      <c r="T903" s="2" t="str">
        <f t="shared" si="44"/>
        <v>61% to 70 %</v>
      </c>
    </row>
    <row r="904" spans="1:21" x14ac:dyDescent="0.3">
      <c r="A904" t="s">
        <v>1866</v>
      </c>
      <c r="B904" t="s">
        <v>1867</v>
      </c>
      <c r="C904" t="s">
        <v>76</v>
      </c>
      <c r="D904" t="s">
        <v>80</v>
      </c>
      <c r="E904">
        <v>22</v>
      </c>
      <c r="F904" t="str">
        <f t="shared" si="42"/>
        <v>21 to 30</v>
      </c>
      <c r="G904" t="s">
        <v>37</v>
      </c>
      <c r="H904" t="s">
        <v>38</v>
      </c>
      <c r="I904" t="s">
        <v>63</v>
      </c>
      <c r="J904">
        <v>3</v>
      </c>
      <c r="K904" t="str">
        <f t="shared" si="43"/>
        <v>0 to 10</v>
      </c>
      <c r="O904">
        <v>3</v>
      </c>
      <c r="P904" t="b">
        <v>1</v>
      </c>
      <c r="Q904" t="s">
        <v>2076</v>
      </c>
      <c r="R904">
        <v>0.96</v>
      </c>
      <c r="S904" s="2">
        <v>0.96</v>
      </c>
      <c r="T904" s="2" t="str">
        <f t="shared" si="44"/>
        <v>91% to 100%</v>
      </c>
    </row>
    <row r="905" spans="1:21" x14ac:dyDescent="0.3">
      <c r="A905" t="s">
        <v>1868</v>
      </c>
      <c r="B905" t="s">
        <v>1869</v>
      </c>
      <c r="C905" t="s">
        <v>111</v>
      </c>
      <c r="D905" t="s">
        <v>80</v>
      </c>
      <c r="E905">
        <v>50</v>
      </c>
      <c r="F905" t="str">
        <f t="shared" si="42"/>
        <v>41 to 50</v>
      </c>
      <c r="G905" t="s">
        <v>23</v>
      </c>
      <c r="H905" t="s">
        <v>24</v>
      </c>
      <c r="I905" t="s">
        <v>52</v>
      </c>
      <c r="J905">
        <v>5</v>
      </c>
      <c r="K905" t="str">
        <f t="shared" si="43"/>
        <v>0 to 10</v>
      </c>
      <c r="L905" s="1">
        <v>100</v>
      </c>
      <c r="M905" t="s">
        <v>2070</v>
      </c>
      <c r="P905">
        <v>1</v>
      </c>
      <c r="Q905" t="s">
        <v>2076</v>
      </c>
      <c r="T905" s="2" t="str">
        <f t="shared" si="44"/>
        <v/>
      </c>
    </row>
    <row r="906" spans="1:21" x14ac:dyDescent="0.3">
      <c r="A906" t="s">
        <v>1870</v>
      </c>
      <c r="B906" t="s">
        <v>1871</v>
      </c>
      <c r="C906" t="s">
        <v>76</v>
      </c>
      <c r="D906" t="s">
        <v>80</v>
      </c>
      <c r="E906">
        <v>31</v>
      </c>
      <c r="F906" t="str">
        <f t="shared" si="42"/>
        <v>31 to 40</v>
      </c>
      <c r="G906" t="s">
        <v>188</v>
      </c>
      <c r="H906" t="s">
        <v>189</v>
      </c>
      <c r="I906" t="s">
        <v>63</v>
      </c>
      <c r="J906">
        <v>12</v>
      </c>
      <c r="K906" t="str">
        <f t="shared" si="43"/>
        <v>11 to 20</v>
      </c>
      <c r="L906" s="1">
        <v>40</v>
      </c>
      <c r="M906" t="s">
        <v>2065</v>
      </c>
      <c r="N906" t="s">
        <v>2067</v>
      </c>
      <c r="P906">
        <v>1</v>
      </c>
      <c r="Q906" t="s">
        <v>2076</v>
      </c>
      <c r="R906">
        <v>1</v>
      </c>
      <c r="S906" s="2">
        <v>1</v>
      </c>
      <c r="T906" s="2" t="str">
        <f t="shared" si="44"/>
        <v>91% to 100%</v>
      </c>
    </row>
    <row r="907" spans="1:21" x14ac:dyDescent="0.3">
      <c r="A907" t="s">
        <v>1872</v>
      </c>
      <c r="B907" t="s">
        <v>1873</v>
      </c>
      <c r="C907" t="s">
        <v>111</v>
      </c>
      <c r="D907" t="s">
        <v>80</v>
      </c>
      <c r="E907">
        <v>30</v>
      </c>
      <c r="F907" t="str">
        <f t="shared" si="42"/>
        <v>21 to 30</v>
      </c>
      <c r="G907" t="s">
        <v>37</v>
      </c>
      <c r="H907" t="s">
        <v>38</v>
      </c>
      <c r="I907" t="s">
        <v>18</v>
      </c>
      <c r="J907">
        <v>5</v>
      </c>
      <c r="K907" t="str">
        <f t="shared" si="43"/>
        <v>0 to 10</v>
      </c>
      <c r="L907" s="1">
        <v>30</v>
      </c>
      <c r="M907" t="s">
        <v>2068</v>
      </c>
      <c r="N907" t="s">
        <v>2069</v>
      </c>
      <c r="P907">
        <v>0</v>
      </c>
      <c r="Q907" t="s">
        <v>2077</v>
      </c>
      <c r="T907" s="2" t="str">
        <f t="shared" si="44"/>
        <v/>
      </c>
    </row>
    <row r="908" spans="1:21" x14ac:dyDescent="0.3">
      <c r="A908" t="s">
        <v>1874</v>
      </c>
      <c r="B908" t="s">
        <v>1875</v>
      </c>
      <c r="C908" t="s">
        <v>15</v>
      </c>
      <c r="D908" t="s">
        <v>20</v>
      </c>
      <c r="E908">
        <v>37</v>
      </c>
      <c r="F908" t="str">
        <f t="shared" si="42"/>
        <v>31 to 40</v>
      </c>
      <c r="G908" t="s">
        <v>118</v>
      </c>
      <c r="H908" t="s">
        <v>119</v>
      </c>
      <c r="I908" t="s">
        <v>18</v>
      </c>
      <c r="J908">
        <v>4</v>
      </c>
      <c r="K908" t="str">
        <f t="shared" si="43"/>
        <v>0 to 10</v>
      </c>
      <c r="P908" t="s">
        <v>53</v>
      </c>
      <c r="Q908" t="s">
        <v>2077</v>
      </c>
      <c r="T908" s="2" t="str">
        <f t="shared" si="44"/>
        <v/>
      </c>
    </row>
    <row r="909" spans="1:21" x14ac:dyDescent="0.3">
      <c r="A909" t="s">
        <v>1876</v>
      </c>
      <c r="B909" t="s">
        <v>1877</v>
      </c>
      <c r="C909" t="s">
        <v>15</v>
      </c>
      <c r="D909" t="s">
        <v>20</v>
      </c>
      <c r="E909">
        <v>31</v>
      </c>
      <c r="F909" t="str">
        <f t="shared" si="42"/>
        <v>31 to 40</v>
      </c>
      <c r="G909" t="s">
        <v>46</v>
      </c>
      <c r="H909" t="s">
        <v>17</v>
      </c>
      <c r="I909" t="s">
        <v>47</v>
      </c>
      <c r="J909">
        <v>13</v>
      </c>
      <c r="K909" t="str">
        <f t="shared" si="43"/>
        <v>11 to 20</v>
      </c>
      <c r="L909" s="1">
        <v>40</v>
      </c>
      <c r="M909" t="s">
        <v>2065</v>
      </c>
      <c r="N909" t="s">
        <v>2067</v>
      </c>
      <c r="O909">
        <v>1.2</v>
      </c>
      <c r="P909" t="b">
        <v>0</v>
      </c>
      <c r="Q909" t="s">
        <v>2077</v>
      </c>
      <c r="R909">
        <v>62</v>
      </c>
      <c r="S909" s="2">
        <v>0.62</v>
      </c>
      <c r="T909" s="2" t="str">
        <f t="shared" si="44"/>
        <v>61% to 70 %</v>
      </c>
      <c r="U909">
        <v>0.62</v>
      </c>
    </row>
    <row r="910" spans="1:21" x14ac:dyDescent="0.3">
      <c r="A910" t="s">
        <v>1878</v>
      </c>
      <c r="B910" t="s">
        <v>1879</v>
      </c>
      <c r="C910" t="s">
        <v>36</v>
      </c>
      <c r="D910" t="s">
        <v>20</v>
      </c>
      <c r="E910">
        <v>46</v>
      </c>
      <c r="F910" t="str">
        <f t="shared" si="42"/>
        <v>41 to 50</v>
      </c>
      <c r="G910" t="s">
        <v>87</v>
      </c>
      <c r="H910" t="s">
        <v>88</v>
      </c>
      <c r="I910" t="s">
        <v>47</v>
      </c>
      <c r="J910">
        <v>12</v>
      </c>
      <c r="K910" t="str">
        <f t="shared" si="43"/>
        <v>11 to 20</v>
      </c>
      <c r="L910" s="1">
        <v>50</v>
      </c>
      <c r="M910" t="s">
        <v>2071</v>
      </c>
      <c r="O910">
        <v>4.7</v>
      </c>
      <c r="P910" t="s">
        <v>19</v>
      </c>
      <c r="Q910" t="s">
        <v>2076</v>
      </c>
      <c r="R910">
        <v>0.77</v>
      </c>
      <c r="S910" s="2">
        <v>0.77</v>
      </c>
      <c r="T910" s="2" t="str">
        <f t="shared" si="44"/>
        <v>71% to 80%</v>
      </c>
    </row>
    <row r="911" spans="1:21" x14ac:dyDescent="0.3">
      <c r="A911" t="s">
        <v>1880</v>
      </c>
      <c r="B911" t="s">
        <v>1881</v>
      </c>
      <c r="C911" t="s">
        <v>15</v>
      </c>
      <c r="D911" t="s">
        <v>20</v>
      </c>
      <c r="E911">
        <v>37</v>
      </c>
      <c r="F911" t="str">
        <f t="shared" si="42"/>
        <v>31 to 40</v>
      </c>
      <c r="G911" t="s">
        <v>118</v>
      </c>
      <c r="H911" t="s">
        <v>119</v>
      </c>
      <c r="I911" t="s">
        <v>63</v>
      </c>
      <c r="J911">
        <v>17</v>
      </c>
      <c r="K911" t="str">
        <f t="shared" si="43"/>
        <v>11 to 20</v>
      </c>
      <c r="L911" s="1">
        <v>20</v>
      </c>
      <c r="M911" t="s">
        <v>2068</v>
      </c>
      <c r="N911" t="s">
        <v>2072</v>
      </c>
      <c r="O911">
        <v>0</v>
      </c>
      <c r="P911" t="s">
        <v>19</v>
      </c>
      <c r="Q911" t="s">
        <v>2076</v>
      </c>
      <c r="R911">
        <v>87</v>
      </c>
      <c r="S911" s="2">
        <v>0.87</v>
      </c>
      <c r="T911" s="2" t="str">
        <f t="shared" si="44"/>
        <v>81% to 90%</v>
      </c>
      <c r="U911">
        <v>0.87</v>
      </c>
    </row>
    <row r="912" spans="1:21" x14ac:dyDescent="0.3">
      <c r="A912" t="s">
        <v>1882</v>
      </c>
      <c r="B912" t="s">
        <v>1883</v>
      </c>
      <c r="C912" t="s">
        <v>36</v>
      </c>
      <c r="D912" t="s">
        <v>20</v>
      </c>
      <c r="E912">
        <v>56</v>
      </c>
      <c r="F912" t="str">
        <f t="shared" si="42"/>
        <v>51 to 60</v>
      </c>
      <c r="G912" t="s">
        <v>83</v>
      </c>
      <c r="H912" t="s">
        <v>84</v>
      </c>
      <c r="I912" t="s">
        <v>63</v>
      </c>
      <c r="J912">
        <v>21</v>
      </c>
      <c r="K912" t="str">
        <f t="shared" si="43"/>
        <v>21 to 30</v>
      </c>
      <c r="L912" s="1">
        <v>100</v>
      </c>
      <c r="M912" t="s">
        <v>2068</v>
      </c>
      <c r="N912" t="s">
        <v>2070</v>
      </c>
      <c r="O912">
        <v>0</v>
      </c>
      <c r="P912" t="b">
        <v>1</v>
      </c>
      <c r="Q912" t="s">
        <v>2076</v>
      </c>
      <c r="R912">
        <v>78</v>
      </c>
      <c r="S912" s="2">
        <v>0.78</v>
      </c>
      <c r="T912" s="2" t="str">
        <f t="shared" si="44"/>
        <v>71% to 80%</v>
      </c>
      <c r="U912">
        <v>0.78</v>
      </c>
    </row>
    <row r="913" spans="1:21" x14ac:dyDescent="0.3">
      <c r="A913" t="s">
        <v>1884</v>
      </c>
      <c r="B913" t="s">
        <v>1885</v>
      </c>
      <c r="C913" t="s">
        <v>36</v>
      </c>
      <c r="D913" t="s">
        <v>20</v>
      </c>
      <c r="E913">
        <v>46</v>
      </c>
      <c r="F913" t="str">
        <f t="shared" si="42"/>
        <v>41 to 50</v>
      </c>
      <c r="G913" t="s">
        <v>37</v>
      </c>
      <c r="H913" t="s">
        <v>38</v>
      </c>
      <c r="I913" t="s">
        <v>52</v>
      </c>
      <c r="J913">
        <v>10</v>
      </c>
      <c r="K913" t="str">
        <f t="shared" si="43"/>
        <v>0 to 10</v>
      </c>
      <c r="O913">
        <v>4.5999999999999996</v>
      </c>
      <c r="P913" t="s">
        <v>96</v>
      </c>
      <c r="Q913" t="s">
        <v>2076</v>
      </c>
      <c r="R913">
        <v>0.62</v>
      </c>
      <c r="S913" s="2">
        <v>0.62</v>
      </c>
      <c r="T913" s="2" t="str">
        <f t="shared" si="44"/>
        <v>61% to 70 %</v>
      </c>
    </row>
    <row r="914" spans="1:21" x14ac:dyDescent="0.3">
      <c r="A914" t="s">
        <v>1886</v>
      </c>
      <c r="B914" t="s">
        <v>1887</v>
      </c>
      <c r="C914" t="s">
        <v>36</v>
      </c>
      <c r="D914" t="s">
        <v>20</v>
      </c>
      <c r="E914">
        <v>33</v>
      </c>
      <c r="F914" t="str">
        <f t="shared" si="42"/>
        <v>31 to 40</v>
      </c>
      <c r="G914" t="s">
        <v>77</v>
      </c>
      <c r="H914" t="s">
        <v>78</v>
      </c>
      <c r="I914" t="s">
        <v>60</v>
      </c>
      <c r="K914" t="str">
        <f t="shared" si="43"/>
        <v/>
      </c>
      <c r="L914" s="1">
        <v>30</v>
      </c>
      <c r="M914" t="s">
        <v>2068</v>
      </c>
      <c r="N914" t="s">
        <v>2069</v>
      </c>
      <c r="O914">
        <v>4.4000000000000004</v>
      </c>
      <c r="P914" t="b">
        <v>1</v>
      </c>
      <c r="Q914" t="s">
        <v>2076</v>
      </c>
      <c r="R914">
        <v>0.65</v>
      </c>
      <c r="S914" s="2">
        <v>0.65</v>
      </c>
      <c r="T914" s="2" t="str">
        <f t="shared" si="44"/>
        <v>61% to 70 %</v>
      </c>
    </row>
    <row r="915" spans="1:21" x14ac:dyDescent="0.3">
      <c r="A915" t="s">
        <v>1888</v>
      </c>
      <c r="B915" t="s">
        <v>1889</v>
      </c>
      <c r="C915" t="s">
        <v>15</v>
      </c>
      <c r="D915" t="s">
        <v>20</v>
      </c>
      <c r="E915">
        <v>59</v>
      </c>
      <c r="F915" t="str">
        <f t="shared" si="42"/>
        <v>51 to 60</v>
      </c>
      <c r="G915" t="s">
        <v>83</v>
      </c>
      <c r="H915" t="s">
        <v>84</v>
      </c>
      <c r="I915" t="s">
        <v>60</v>
      </c>
      <c r="J915">
        <v>17</v>
      </c>
      <c r="K915" t="str">
        <f t="shared" si="43"/>
        <v>11 to 20</v>
      </c>
      <c r="L915" s="1">
        <v>100</v>
      </c>
      <c r="M915" t="s">
        <v>2070</v>
      </c>
      <c r="O915">
        <v>4</v>
      </c>
      <c r="P915" t="s">
        <v>67</v>
      </c>
      <c r="Q915" t="s">
        <v>2077</v>
      </c>
      <c r="R915">
        <v>0.72</v>
      </c>
      <c r="S915" s="2">
        <v>0.72</v>
      </c>
      <c r="T915" s="2" t="str">
        <f t="shared" si="44"/>
        <v>71% to 80%</v>
      </c>
    </row>
    <row r="916" spans="1:21" x14ac:dyDescent="0.3">
      <c r="A916" t="s">
        <v>1890</v>
      </c>
      <c r="B916" t="s">
        <v>1891</v>
      </c>
      <c r="C916" t="s">
        <v>15</v>
      </c>
      <c r="D916" t="s">
        <v>20</v>
      </c>
      <c r="E916">
        <v>51</v>
      </c>
      <c r="F916" t="str">
        <f t="shared" si="42"/>
        <v>51 to 60</v>
      </c>
      <c r="G916" t="s">
        <v>77</v>
      </c>
      <c r="H916" t="s">
        <v>78</v>
      </c>
      <c r="I916" t="s">
        <v>108</v>
      </c>
      <c r="J916">
        <v>33</v>
      </c>
      <c r="K916" t="str">
        <f t="shared" si="43"/>
        <v>31 to 40</v>
      </c>
      <c r="L916" s="1">
        <v>40</v>
      </c>
      <c r="M916" t="s">
        <v>2068</v>
      </c>
      <c r="N916" t="s">
        <v>2067</v>
      </c>
      <c r="O916">
        <v>0</v>
      </c>
      <c r="P916" t="s">
        <v>96</v>
      </c>
      <c r="Q916" t="s">
        <v>2076</v>
      </c>
      <c r="R916">
        <v>0.63</v>
      </c>
      <c r="S916" s="2">
        <v>0.63</v>
      </c>
      <c r="T916" s="2" t="str">
        <f t="shared" si="44"/>
        <v>61% to 70 %</v>
      </c>
    </row>
    <row r="917" spans="1:21" x14ac:dyDescent="0.3">
      <c r="A917" t="s">
        <v>1892</v>
      </c>
      <c r="B917" t="s">
        <v>1893</v>
      </c>
      <c r="C917" t="s">
        <v>15</v>
      </c>
      <c r="D917" t="s">
        <v>20</v>
      </c>
      <c r="E917">
        <v>35</v>
      </c>
      <c r="F917" t="str">
        <f t="shared" si="42"/>
        <v>31 to 40</v>
      </c>
      <c r="G917" t="s">
        <v>58</v>
      </c>
      <c r="H917" t="s">
        <v>59</v>
      </c>
      <c r="I917" t="s">
        <v>108</v>
      </c>
      <c r="J917">
        <v>8</v>
      </c>
      <c r="K917" t="str">
        <f t="shared" si="43"/>
        <v>0 to 10</v>
      </c>
      <c r="L917" s="1">
        <v>50</v>
      </c>
      <c r="M917" t="s">
        <v>2068</v>
      </c>
      <c r="N917" t="s">
        <v>2071</v>
      </c>
      <c r="P917" t="s">
        <v>67</v>
      </c>
      <c r="Q917" t="s">
        <v>2077</v>
      </c>
      <c r="R917">
        <v>90</v>
      </c>
      <c r="S917" s="2">
        <v>0.9</v>
      </c>
      <c r="T917" s="2" t="str">
        <f t="shared" si="44"/>
        <v>81% to 90%</v>
      </c>
      <c r="U917">
        <v>0.9</v>
      </c>
    </row>
    <row r="918" spans="1:21" x14ac:dyDescent="0.3">
      <c r="A918" t="s">
        <v>1894</v>
      </c>
      <c r="B918" t="s">
        <v>1895</v>
      </c>
      <c r="C918" t="s">
        <v>15</v>
      </c>
      <c r="D918" t="s">
        <v>20</v>
      </c>
      <c r="E918">
        <v>56</v>
      </c>
      <c r="F918" t="str">
        <f t="shared" si="42"/>
        <v>51 to 60</v>
      </c>
      <c r="G918" t="s">
        <v>77</v>
      </c>
      <c r="H918" t="s">
        <v>78</v>
      </c>
      <c r="I918" t="s">
        <v>60</v>
      </c>
      <c r="J918">
        <v>15</v>
      </c>
      <c r="K918" t="str">
        <f t="shared" si="43"/>
        <v>11 to 20</v>
      </c>
      <c r="L918" s="1">
        <v>40</v>
      </c>
      <c r="M918" t="s">
        <v>2067</v>
      </c>
      <c r="O918">
        <v>3.7</v>
      </c>
      <c r="R918">
        <v>0.92</v>
      </c>
      <c r="S918" s="2">
        <v>0.92</v>
      </c>
      <c r="T918" s="2" t="str">
        <f t="shared" si="44"/>
        <v>91% to 100%</v>
      </c>
    </row>
    <row r="919" spans="1:21" x14ac:dyDescent="0.3">
      <c r="A919" t="s">
        <v>1896</v>
      </c>
      <c r="B919" t="s">
        <v>1897</v>
      </c>
      <c r="C919" t="s">
        <v>15</v>
      </c>
      <c r="D919" t="s">
        <v>20</v>
      </c>
      <c r="E919">
        <v>26</v>
      </c>
      <c r="F919" t="str">
        <f t="shared" si="42"/>
        <v>21 to 30</v>
      </c>
      <c r="G919" t="s">
        <v>77</v>
      </c>
      <c r="H919" t="s">
        <v>78</v>
      </c>
      <c r="I919" t="s">
        <v>33</v>
      </c>
      <c r="J919">
        <v>7</v>
      </c>
      <c r="K919" t="str">
        <f t="shared" si="43"/>
        <v>0 to 10</v>
      </c>
      <c r="L919" s="1">
        <v>75</v>
      </c>
      <c r="M919" t="s">
        <v>2068</v>
      </c>
      <c r="N919" t="s">
        <v>2066</v>
      </c>
      <c r="O919">
        <v>2.9</v>
      </c>
      <c r="P919">
        <v>0</v>
      </c>
      <c r="Q919" t="s">
        <v>2077</v>
      </c>
      <c r="R919">
        <v>0.78</v>
      </c>
      <c r="S919" s="2">
        <v>0.78</v>
      </c>
      <c r="T919" s="2" t="str">
        <f t="shared" si="44"/>
        <v>71% to 80%</v>
      </c>
    </row>
    <row r="920" spans="1:21" x14ac:dyDescent="0.3">
      <c r="A920" t="s">
        <v>1898</v>
      </c>
      <c r="B920" t="s">
        <v>1899</v>
      </c>
      <c r="C920" t="s">
        <v>76</v>
      </c>
      <c r="D920" t="s">
        <v>80</v>
      </c>
      <c r="E920">
        <v>23</v>
      </c>
      <c r="F920" t="str">
        <f t="shared" si="42"/>
        <v>21 to 30</v>
      </c>
      <c r="G920" t="s">
        <v>188</v>
      </c>
      <c r="H920" t="s">
        <v>189</v>
      </c>
      <c r="I920" t="s">
        <v>108</v>
      </c>
      <c r="J920">
        <v>0</v>
      </c>
      <c r="K920" t="str">
        <f t="shared" si="43"/>
        <v>0 to 10</v>
      </c>
      <c r="L920" s="1">
        <v>75</v>
      </c>
      <c r="M920" t="s">
        <v>2068</v>
      </c>
      <c r="N920" t="s">
        <v>2066</v>
      </c>
      <c r="O920">
        <v>2.2999999999999998</v>
      </c>
      <c r="R920">
        <v>0.6</v>
      </c>
      <c r="S920" s="2">
        <v>0.6</v>
      </c>
      <c r="T920" s="2" t="str">
        <f t="shared" si="44"/>
        <v>50% to 60%</v>
      </c>
    </row>
    <row r="921" spans="1:21" x14ac:dyDescent="0.3">
      <c r="A921" t="s">
        <v>1900</v>
      </c>
      <c r="B921" t="s">
        <v>1901</v>
      </c>
      <c r="C921" t="s">
        <v>76</v>
      </c>
      <c r="D921" t="s">
        <v>80</v>
      </c>
      <c r="E921">
        <v>46</v>
      </c>
      <c r="F921" t="str">
        <f t="shared" si="42"/>
        <v>41 to 50</v>
      </c>
      <c r="G921" t="s">
        <v>101</v>
      </c>
      <c r="H921" t="s">
        <v>59</v>
      </c>
      <c r="I921" t="s">
        <v>39</v>
      </c>
      <c r="J921">
        <v>26</v>
      </c>
      <c r="K921" t="str">
        <f t="shared" si="43"/>
        <v>21 to 30</v>
      </c>
      <c r="L921" s="1">
        <v>100</v>
      </c>
      <c r="M921" t="s">
        <v>2065</v>
      </c>
      <c r="N921" t="s">
        <v>2070</v>
      </c>
      <c r="O921">
        <v>2.1</v>
      </c>
      <c r="T921" s="2" t="str">
        <f t="shared" si="44"/>
        <v/>
      </c>
    </row>
    <row r="922" spans="1:21" x14ac:dyDescent="0.3">
      <c r="A922" t="s">
        <v>1902</v>
      </c>
      <c r="B922" t="s">
        <v>1903</v>
      </c>
      <c r="C922" t="s">
        <v>76</v>
      </c>
      <c r="D922" t="s">
        <v>80</v>
      </c>
      <c r="E922">
        <v>31</v>
      </c>
      <c r="F922" t="str">
        <f t="shared" si="42"/>
        <v>31 to 40</v>
      </c>
      <c r="G922" t="s">
        <v>91</v>
      </c>
      <c r="H922" t="s">
        <v>59</v>
      </c>
      <c r="I922" t="s">
        <v>39</v>
      </c>
      <c r="J922">
        <v>10</v>
      </c>
      <c r="K922" t="str">
        <f t="shared" si="43"/>
        <v>0 to 10</v>
      </c>
      <c r="L922" s="1">
        <v>75</v>
      </c>
      <c r="M922" t="s">
        <v>2066</v>
      </c>
      <c r="O922">
        <v>0</v>
      </c>
      <c r="P922" t="s">
        <v>67</v>
      </c>
      <c r="Q922" t="s">
        <v>2077</v>
      </c>
      <c r="R922">
        <v>0.7</v>
      </c>
      <c r="S922" s="2">
        <v>0.7</v>
      </c>
      <c r="T922" s="2" t="str">
        <f t="shared" si="44"/>
        <v>61% to 70 %</v>
      </c>
    </row>
    <row r="923" spans="1:21" x14ac:dyDescent="0.3">
      <c r="A923" t="s">
        <v>1904</v>
      </c>
      <c r="B923" t="s">
        <v>1905</v>
      </c>
      <c r="C923" t="s">
        <v>76</v>
      </c>
      <c r="D923" t="s">
        <v>80</v>
      </c>
      <c r="E923">
        <v>44</v>
      </c>
      <c r="F923" t="str">
        <f t="shared" si="42"/>
        <v>41 to 50</v>
      </c>
      <c r="G923" t="s">
        <v>42</v>
      </c>
      <c r="H923" t="s">
        <v>43</v>
      </c>
      <c r="I923" t="s">
        <v>60</v>
      </c>
      <c r="J923">
        <v>22</v>
      </c>
      <c r="K923" t="str">
        <f t="shared" si="43"/>
        <v>21 to 30</v>
      </c>
      <c r="L923" s="1">
        <v>30</v>
      </c>
      <c r="M923" t="s">
        <v>2069</v>
      </c>
      <c r="O923">
        <v>4.0999999999999996</v>
      </c>
      <c r="P923" t="s">
        <v>96</v>
      </c>
      <c r="Q923" t="s">
        <v>2076</v>
      </c>
      <c r="T923" s="2" t="str">
        <f t="shared" si="44"/>
        <v/>
      </c>
    </row>
    <row r="924" spans="1:21" x14ac:dyDescent="0.3">
      <c r="A924" t="s">
        <v>1906</v>
      </c>
      <c r="B924" t="s">
        <v>1907</v>
      </c>
      <c r="C924" t="s">
        <v>76</v>
      </c>
      <c r="D924" t="s">
        <v>80</v>
      </c>
      <c r="E924">
        <v>42</v>
      </c>
      <c r="F924" t="str">
        <f t="shared" si="42"/>
        <v>41 to 50</v>
      </c>
      <c r="G924" t="s">
        <v>37</v>
      </c>
      <c r="H924" t="s">
        <v>38</v>
      </c>
      <c r="I924" t="s">
        <v>52</v>
      </c>
      <c r="J924">
        <v>20</v>
      </c>
      <c r="K924" t="str">
        <f t="shared" si="43"/>
        <v>11 to 20</v>
      </c>
      <c r="L924" s="1">
        <v>50</v>
      </c>
      <c r="M924" t="s">
        <v>2068</v>
      </c>
      <c r="N924" t="s">
        <v>2071</v>
      </c>
      <c r="O924">
        <v>3.8</v>
      </c>
      <c r="P924" t="s">
        <v>53</v>
      </c>
      <c r="Q924" t="s">
        <v>2077</v>
      </c>
      <c r="R924">
        <v>0.93</v>
      </c>
      <c r="S924" s="2">
        <v>0.93</v>
      </c>
      <c r="T924" s="2" t="str">
        <f t="shared" si="44"/>
        <v>91% to 100%</v>
      </c>
    </row>
    <row r="925" spans="1:21" x14ac:dyDescent="0.3">
      <c r="A925" t="s">
        <v>1908</v>
      </c>
      <c r="B925" t="s">
        <v>1909</v>
      </c>
      <c r="C925" t="s">
        <v>111</v>
      </c>
      <c r="D925" t="s">
        <v>80</v>
      </c>
      <c r="E925">
        <v>40</v>
      </c>
      <c r="F925" t="str">
        <f t="shared" si="42"/>
        <v>31 to 40</v>
      </c>
      <c r="G925" t="s">
        <v>87</v>
      </c>
      <c r="H925" t="s">
        <v>88</v>
      </c>
      <c r="I925" t="s">
        <v>39</v>
      </c>
      <c r="J925">
        <v>11</v>
      </c>
      <c r="K925" t="str">
        <f t="shared" si="43"/>
        <v>11 to 20</v>
      </c>
      <c r="L925" s="1">
        <v>20</v>
      </c>
      <c r="M925" t="s">
        <v>2065</v>
      </c>
      <c r="N925" t="s">
        <v>2072</v>
      </c>
      <c r="O925">
        <v>1.8</v>
      </c>
      <c r="P925">
        <v>1</v>
      </c>
      <c r="Q925" t="s">
        <v>2076</v>
      </c>
      <c r="R925">
        <v>0.9</v>
      </c>
      <c r="S925" s="2">
        <v>0.9</v>
      </c>
      <c r="T925" s="2" t="str">
        <f t="shared" si="44"/>
        <v>81% to 90%</v>
      </c>
    </row>
    <row r="926" spans="1:21" x14ac:dyDescent="0.3">
      <c r="A926" t="s">
        <v>1910</v>
      </c>
      <c r="B926" t="s">
        <v>1911</v>
      </c>
      <c r="C926" t="s">
        <v>111</v>
      </c>
      <c r="D926" t="s">
        <v>80</v>
      </c>
      <c r="E926">
        <v>22</v>
      </c>
      <c r="F926" t="str">
        <f t="shared" si="42"/>
        <v>21 to 30</v>
      </c>
      <c r="G926" t="s">
        <v>77</v>
      </c>
      <c r="H926" t="s">
        <v>78</v>
      </c>
      <c r="I926" t="s">
        <v>33</v>
      </c>
      <c r="J926">
        <v>1</v>
      </c>
      <c r="K926" t="str">
        <f t="shared" si="43"/>
        <v>0 to 10</v>
      </c>
      <c r="L926" s="1">
        <v>30</v>
      </c>
      <c r="M926" t="s">
        <v>2068</v>
      </c>
      <c r="N926" t="s">
        <v>2069</v>
      </c>
      <c r="O926">
        <v>3.3</v>
      </c>
      <c r="P926">
        <v>1</v>
      </c>
      <c r="Q926" t="s">
        <v>2076</v>
      </c>
      <c r="R926">
        <v>0.61</v>
      </c>
      <c r="S926" s="2">
        <v>0.61</v>
      </c>
      <c r="T926" s="2" t="str">
        <f t="shared" si="44"/>
        <v>61% to 70 %</v>
      </c>
    </row>
    <row r="927" spans="1:21" x14ac:dyDescent="0.3">
      <c r="A927" t="s">
        <v>1912</v>
      </c>
      <c r="B927" t="s">
        <v>1913</v>
      </c>
      <c r="C927" t="s">
        <v>76</v>
      </c>
      <c r="D927" t="s">
        <v>80</v>
      </c>
      <c r="E927">
        <v>32</v>
      </c>
      <c r="F927" t="str">
        <f t="shared" si="42"/>
        <v>31 to 40</v>
      </c>
      <c r="G927" t="s">
        <v>27</v>
      </c>
      <c r="H927" t="s">
        <v>28</v>
      </c>
      <c r="I927" t="s">
        <v>33</v>
      </c>
      <c r="J927">
        <v>9</v>
      </c>
      <c r="K927" t="str">
        <f t="shared" si="43"/>
        <v>0 to 10</v>
      </c>
      <c r="L927" s="1">
        <v>75</v>
      </c>
      <c r="M927" t="s">
        <v>2066</v>
      </c>
      <c r="P927" t="s">
        <v>53</v>
      </c>
      <c r="Q927" t="s">
        <v>2077</v>
      </c>
      <c r="R927">
        <v>0.96</v>
      </c>
      <c r="S927" s="2">
        <v>0.96</v>
      </c>
      <c r="T927" s="2" t="str">
        <f t="shared" si="44"/>
        <v>91% to 100%</v>
      </c>
    </row>
    <row r="928" spans="1:21" x14ac:dyDescent="0.3">
      <c r="A928" t="s">
        <v>1914</v>
      </c>
      <c r="B928" t="s">
        <v>1915</v>
      </c>
      <c r="C928" t="s">
        <v>76</v>
      </c>
      <c r="D928" t="s">
        <v>80</v>
      </c>
      <c r="E928">
        <v>53</v>
      </c>
      <c r="F928" t="str">
        <f t="shared" si="42"/>
        <v>51 to 60</v>
      </c>
      <c r="G928" t="s">
        <v>139</v>
      </c>
      <c r="H928" t="s">
        <v>59</v>
      </c>
      <c r="I928" t="s">
        <v>52</v>
      </c>
      <c r="J928">
        <v>33</v>
      </c>
      <c r="K928" t="str">
        <f t="shared" si="43"/>
        <v>31 to 40</v>
      </c>
      <c r="L928" s="1">
        <v>100</v>
      </c>
      <c r="M928" t="s">
        <v>2065</v>
      </c>
      <c r="N928" t="s">
        <v>2070</v>
      </c>
      <c r="P928" t="s">
        <v>67</v>
      </c>
      <c r="Q928" t="s">
        <v>2077</v>
      </c>
      <c r="R928">
        <v>0.75</v>
      </c>
      <c r="S928" s="2">
        <v>0.75</v>
      </c>
      <c r="T928" s="2" t="str">
        <f t="shared" si="44"/>
        <v>71% to 80%</v>
      </c>
    </row>
    <row r="929" spans="1:20" x14ac:dyDescent="0.3">
      <c r="A929" t="s">
        <v>1916</v>
      </c>
      <c r="B929" t="s">
        <v>1917</v>
      </c>
      <c r="C929" t="s">
        <v>76</v>
      </c>
      <c r="D929" t="s">
        <v>80</v>
      </c>
      <c r="E929">
        <v>57</v>
      </c>
      <c r="F929" t="str">
        <f t="shared" si="42"/>
        <v>51 to 60</v>
      </c>
      <c r="G929" t="s">
        <v>87</v>
      </c>
      <c r="H929" t="s">
        <v>88</v>
      </c>
      <c r="I929" t="s">
        <v>63</v>
      </c>
      <c r="J929">
        <v>4</v>
      </c>
      <c r="K929" t="str">
        <f t="shared" si="43"/>
        <v>0 to 10</v>
      </c>
      <c r="L929" s="1">
        <v>40</v>
      </c>
      <c r="M929" t="s">
        <v>2068</v>
      </c>
      <c r="N929" t="s">
        <v>2067</v>
      </c>
      <c r="O929">
        <v>3.4</v>
      </c>
      <c r="P929">
        <v>1</v>
      </c>
      <c r="Q929" t="s">
        <v>2076</v>
      </c>
      <c r="R929">
        <v>0.68</v>
      </c>
      <c r="S929" s="2">
        <v>0.68</v>
      </c>
      <c r="T929" s="2" t="str">
        <f t="shared" si="44"/>
        <v>61% to 70 %</v>
      </c>
    </row>
    <row r="930" spans="1:20" x14ac:dyDescent="0.3">
      <c r="A930" t="s">
        <v>1918</v>
      </c>
      <c r="B930" t="s">
        <v>1919</v>
      </c>
      <c r="C930" t="s">
        <v>111</v>
      </c>
      <c r="D930" t="s">
        <v>80</v>
      </c>
      <c r="E930">
        <v>51</v>
      </c>
      <c r="F930" t="str">
        <f t="shared" si="42"/>
        <v>51 to 60</v>
      </c>
      <c r="G930" t="s">
        <v>139</v>
      </c>
      <c r="H930" t="s">
        <v>59</v>
      </c>
      <c r="I930" t="s">
        <v>18</v>
      </c>
      <c r="J930">
        <v>25</v>
      </c>
      <c r="K930" t="str">
        <f t="shared" si="43"/>
        <v>21 to 30</v>
      </c>
      <c r="L930" s="1">
        <v>50</v>
      </c>
      <c r="M930" t="s">
        <v>2071</v>
      </c>
      <c r="O930">
        <v>1.4</v>
      </c>
      <c r="P930" t="s">
        <v>96</v>
      </c>
      <c r="Q930" t="s">
        <v>2076</v>
      </c>
      <c r="R930">
        <v>0.6</v>
      </c>
      <c r="S930" s="2">
        <v>0.6</v>
      </c>
      <c r="T930" s="2" t="str">
        <f t="shared" si="44"/>
        <v>50% to 60%</v>
      </c>
    </row>
    <row r="931" spans="1:20" x14ac:dyDescent="0.3">
      <c r="A931" t="s">
        <v>1920</v>
      </c>
      <c r="B931" t="s">
        <v>1921</v>
      </c>
      <c r="C931" t="s">
        <v>36</v>
      </c>
      <c r="D931" t="s">
        <v>20</v>
      </c>
      <c r="E931">
        <v>35</v>
      </c>
      <c r="F931" t="str">
        <f t="shared" si="42"/>
        <v>31 to 40</v>
      </c>
      <c r="G931" t="s">
        <v>254</v>
      </c>
      <c r="H931" t="s">
        <v>255</v>
      </c>
      <c r="I931" t="s">
        <v>63</v>
      </c>
      <c r="J931">
        <v>16</v>
      </c>
      <c r="K931" t="str">
        <f t="shared" si="43"/>
        <v>11 to 20</v>
      </c>
      <c r="O931">
        <v>1.3</v>
      </c>
      <c r="P931">
        <v>1</v>
      </c>
      <c r="Q931" t="s">
        <v>2076</v>
      </c>
      <c r="R931">
        <v>0.64</v>
      </c>
      <c r="S931" s="2">
        <v>0.64</v>
      </c>
      <c r="T931" s="2" t="str">
        <f t="shared" si="44"/>
        <v>61% to 70 %</v>
      </c>
    </row>
    <row r="932" spans="1:20" x14ac:dyDescent="0.3">
      <c r="A932" t="s">
        <v>1922</v>
      </c>
      <c r="B932" t="s">
        <v>1923</v>
      </c>
      <c r="C932" t="s">
        <v>15</v>
      </c>
      <c r="D932" t="s">
        <v>20</v>
      </c>
      <c r="E932">
        <v>22</v>
      </c>
      <c r="F932" t="str">
        <f t="shared" si="42"/>
        <v>21 to 30</v>
      </c>
      <c r="G932" t="s">
        <v>23</v>
      </c>
      <c r="H932" t="s">
        <v>24</v>
      </c>
      <c r="I932" t="s">
        <v>108</v>
      </c>
      <c r="J932">
        <v>0</v>
      </c>
      <c r="K932" t="str">
        <f t="shared" si="43"/>
        <v>0 to 10</v>
      </c>
      <c r="O932">
        <v>4.5999999999999996</v>
      </c>
      <c r="P932" t="b">
        <v>0</v>
      </c>
      <c r="Q932" t="s">
        <v>2077</v>
      </c>
      <c r="T932" s="2" t="str">
        <f t="shared" si="44"/>
        <v/>
      </c>
    </row>
    <row r="933" spans="1:20" x14ac:dyDescent="0.3">
      <c r="A933" t="s">
        <v>1924</v>
      </c>
      <c r="B933" t="s">
        <v>1925</v>
      </c>
      <c r="C933" t="s">
        <v>15</v>
      </c>
      <c r="D933" t="s">
        <v>20</v>
      </c>
      <c r="E933">
        <v>60</v>
      </c>
      <c r="F933" t="str">
        <f t="shared" si="42"/>
        <v>51 to 60</v>
      </c>
      <c r="G933" t="s">
        <v>188</v>
      </c>
      <c r="H933" t="s">
        <v>189</v>
      </c>
      <c r="I933" t="s">
        <v>60</v>
      </c>
      <c r="J933">
        <v>39</v>
      </c>
      <c r="K933" t="str">
        <f t="shared" si="43"/>
        <v>31 to 40</v>
      </c>
      <c r="L933" s="1">
        <v>75</v>
      </c>
      <c r="M933" t="s">
        <v>2066</v>
      </c>
      <c r="O933">
        <v>1.4</v>
      </c>
      <c r="P933" t="s">
        <v>67</v>
      </c>
      <c r="Q933" t="s">
        <v>2077</v>
      </c>
      <c r="R933">
        <v>0.7</v>
      </c>
      <c r="S933" s="2">
        <v>0.7</v>
      </c>
      <c r="T933" s="2" t="str">
        <f t="shared" si="44"/>
        <v>61% to 70 %</v>
      </c>
    </row>
    <row r="934" spans="1:20" x14ac:dyDescent="0.3">
      <c r="A934" t="s">
        <v>1926</v>
      </c>
      <c r="B934" t="s">
        <v>1927</v>
      </c>
      <c r="C934" t="s">
        <v>36</v>
      </c>
      <c r="D934" t="s">
        <v>20</v>
      </c>
      <c r="F934" t="str">
        <f t="shared" si="42"/>
        <v/>
      </c>
      <c r="G934" t="s">
        <v>155</v>
      </c>
      <c r="H934" t="s">
        <v>17</v>
      </c>
      <c r="I934" t="s">
        <v>108</v>
      </c>
      <c r="J934">
        <v>1</v>
      </c>
      <c r="K934" t="str">
        <f t="shared" si="43"/>
        <v>0 to 10</v>
      </c>
      <c r="L934" s="1">
        <v>75</v>
      </c>
      <c r="M934" t="s">
        <v>2066</v>
      </c>
      <c r="O934">
        <v>0</v>
      </c>
      <c r="P934" t="b">
        <v>1</v>
      </c>
      <c r="Q934" t="s">
        <v>2076</v>
      </c>
      <c r="R934">
        <v>0.94</v>
      </c>
      <c r="S934" s="2">
        <v>0.94</v>
      </c>
      <c r="T934" s="2" t="str">
        <f t="shared" si="44"/>
        <v>91% to 100%</v>
      </c>
    </row>
    <row r="935" spans="1:20" x14ac:dyDescent="0.3">
      <c r="A935" t="s">
        <v>1928</v>
      </c>
      <c r="B935" t="s">
        <v>1929</v>
      </c>
      <c r="C935" t="s">
        <v>36</v>
      </c>
      <c r="D935" t="s">
        <v>20</v>
      </c>
      <c r="E935">
        <v>34</v>
      </c>
      <c r="F935" t="str">
        <f t="shared" si="42"/>
        <v>31 to 40</v>
      </c>
      <c r="G935" t="s">
        <v>104</v>
      </c>
      <c r="H935" t="s">
        <v>105</v>
      </c>
      <c r="I935" t="s">
        <v>33</v>
      </c>
      <c r="J935">
        <v>6</v>
      </c>
      <c r="K935" t="str">
        <f t="shared" si="43"/>
        <v>0 to 10</v>
      </c>
      <c r="L935" s="1">
        <v>100</v>
      </c>
      <c r="M935" t="s">
        <v>2065</v>
      </c>
      <c r="N935" t="s">
        <v>2070</v>
      </c>
      <c r="O935">
        <v>2</v>
      </c>
      <c r="P935" t="s">
        <v>67</v>
      </c>
      <c r="Q935" t="s">
        <v>2077</v>
      </c>
      <c r="T935" s="2" t="str">
        <f t="shared" si="44"/>
        <v/>
      </c>
    </row>
    <row r="936" spans="1:20" x14ac:dyDescent="0.3">
      <c r="A936" t="s">
        <v>1930</v>
      </c>
      <c r="B936" t="s">
        <v>1931</v>
      </c>
      <c r="C936" t="s">
        <v>15</v>
      </c>
      <c r="D936" t="s">
        <v>20</v>
      </c>
      <c r="E936">
        <v>22</v>
      </c>
      <c r="F936" t="str">
        <f t="shared" si="42"/>
        <v>21 to 30</v>
      </c>
      <c r="G936" t="s">
        <v>16</v>
      </c>
      <c r="H936" t="s">
        <v>17</v>
      </c>
      <c r="I936" t="s">
        <v>18</v>
      </c>
      <c r="J936">
        <v>0</v>
      </c>
      <c r="K936" t="str">
        <f t="shared" si="43"/>
        <v>0 to 10</v>
      </c>
      <c r="L936" s="1">
        <v>30</v>
      </c>
      <c r="M936" t="s">
        <v>2065</v>
      </c>
      <c r="N936" t="s">
        <v>2069</v>
      </c>
      <c r="O936">
        <v>0</v>
      </c>
      <c r="P936">
        <v>0</v>
      </c>
      <c r="Q936" t="s">
        <v>2077</v>
      </c>
      <c r="R936">
        <v>0.87</v>
      </c>
      <c r="S936" s="2">
        <v>0.87</v>
      </c>
      <c r="T936" s="2" t="str">
        <f t="shared" si="44"/>
        <v>81% to 90%</v>
      </c>
    </row>
    <row r="937" spans="1:20" x14ac:dyDescent="0.3">
      <c r="A937" t="s">
        <v>1932</v>
      </c>
      <c r="B937" t="s">
        <v>1933</v>
      </c>
      <c r="C937" t="s">
        <v>36</v>
      </c>
      <c r="D937" t="s">
        <v>20</v>
      </c>
      <c r="E937">
        <v>60</v>
      </c>
      <c r="F937" t="str">
        <f t="shared" si="42"/>
        <v>51 to 60</v>
      </c>
      <c r="G937" t="s">
        <v>254</v>
      </c>
      <c r="H937" t="s">
        <v>255</v>
      </c>
      <c r="I937" t="s">
        <v>66</v>
      </c>
      <c r="J937">
        <v>13</v>
      </c>
      <c r="K937" t="str">
        <f t="shared" si="43"/>
        <v>11 to 20</v>
      </c>
      <c r="L937" s="1">
        <v>50</v>
      </c>
      <c r="M937" t="s">
        <v>2068</v>
      </c>
      <c r="N937" t="s">
        <v>2071</v>
      </c>
      <c r="O937">
        <v>1</v>
      </c>
      <c r="P937" t="b">
        <v>0</v>
      </c>
      <c r="Q937" t="s">
        <v>2077</v>
      </c>
      <c r="T937" s="2" t="str">
        <f t="shared" si="44"/>
        <v/>
      </c>
    </row>
    <row r="938" spans="1:20" x14ac:dyDescent="0.3">
      <c r="A938" t="s">
        <v>1934</v>
      </c>
      <c r="B938" t="s">
        <v>1935</v>
      </c>
      <c r="C938" t="s">
        <v>36</v>
      </c>
      <c r="D938" t="s">
        <v>20</v>
      </c>
      <c r="E938">
        <v>27</v>
      </c>
      <c r="F938" t="str">
        <f t="shared" si="42"/>
        <v>21 to 30</v>
      </c>
      <c r="G938" t="s">
        <v>118</v>
      </c>
      <c r="H938" t="s">
        <v>119</v>
      </c>
      <c r="I938" t="s">
        <v>39</v>
      </c>
      <c r="J938">
        <v>9</v>
      </c>
      <c r="K938" t="str">
        <f t="shared" si="43"/>
        <v>0 to 10</v>
      </c>
      <c r="L938" s="1">
        <v>100</v>
      </c>
      <c r="M938" t="s">
        <v>2065</v>
      </c>
      <c r="N938" t="s">
        <v>2070</v>
      </c>
      <c r="P938" t="b">
        <v>1</v>
      </c>
      <c r="Q938" t="s">
        <v>2076</v>
      </c>
      <c r="T938" s="2" t="str">
        <f t="shared" si="44"/>
        <v/>
      </c>
    </row>
    <row r="939" spans="1:20" x14ac:dyDescent="0.3">
      <c r="A939" t="s">
        <v>1936</v>
      </c>
      <c r="B939" t="s">
        <v>1937</v>
      </c>
      <c r="C939" t="s">
        <v>15</v>
      </c>
      <c r="D939" t="s">
        <v>20</v>
      </c>
      <c r="E939">
        <v>36</v>
      </c>
      <c r="F939" t="str">
        <f t="shared" si="42"/>
        <v>31 to 40</v>
      </c>
      <c r="G939" t="s">
        <v>188</v>
      </c>
      <c r="H939" t="s">
        <v>189</v>
      </c>
      <c r="I939" t="s">
        <v>33</v>
      </c>
      <c r="J939">
        <v>9</v>
      </c>
      <c r="K939" t="str">
        <f t="shared" si="43"/>
        <v>0 to 10</v>
      </c>
      <c r="L939" s="1">
        <v>75</v>
      </c>
      <c r="M939" t="s">
        <v>2066</v>
      </c>
      <c r="O939">
        <v>2.2000000000000002</v>
      </c>
      <c r="P939">
        <v>0</v>
      </c>
      <c r="Q939" t="s">
        <v>2077</v>
      </c>
      <c r="R939">
        <v>0.95</v>
      </c>
      <c r="S939" s="2">
        <v>0.95</v>
      </c>
      <c r="T939" s="2" t="str">
        <f t="shared" si="44"/>
        <v>91% to 100%</v>
      </c>
    </row>
    <row r="940" spans="1:20" x14ac:dyDescent="0.3">
      <c r="A940" t="s">
        <v>1938</v>
      </c>
      <c r="B940" t="s">
        <v>1939</v>
      </c>
      <c r="C940" t="s">
        <v>36</v>
      </c>
      <c r="D940" t="s">
        <v>20</v>
      </c>
      <c r="E940">
        <v>35</v>
      </c>
      <c r="F940" t="str">
        <f t="shared" si="42"/>
        <v>31 to 40</v>
      </c>
      <c r="G940" t="s">
        <v>23</v>
      </c>
      <c r="H940" t="s">
        <v>24</v>
      </c>
      <c r="I940" t="s">
        <v>52</v>
      </c>
      <c r="J940">
        <v>0</v>
      </c>
      <c r="K940" t="str">
        <f t="shared" si="43"/>
        <v>0 to 10</v>
      </c>
      <c r="O940">
        <v>2</v>
      </c>
      <c r="P940">
        <v>1</v>
      </c>
      <c r="Q940" t="s">
        <v>2076</v>
      </c>
      <c r="R940">
        <v>0.64</v>
      </c>
      <c r="S940" s="2">
        <v>0.64</v>
      </c>
      <c r="T940" s="2" t="str">
        <f t="shared" si="44"/>
        <v>61% to 70 %</v>
      </c>
    </row>
    <row r="941" spans="1:20" x14ac:dyDescent="0.3">
      <c r="A941" t="s">
        <v>1940</v>
      </c>
      <c r="B941" t="s">
        <v>1941</v>
      </c>
      <c r="C941" t="s">
        <v>36</v>
      </c>
      <c r="D941" t="s">
        <v>20</v>
      </c>
      <c r="E941">
        <v>20</v>
      </c>
      <c r="F941" t="str">
        <f t="shared" si="42"/>
        <v>11 to 20</v>
      </c>
      <c r="G941" t="s">
        <v>91</v>
      </c>
      <c r="H941" t="s">
        <v>59</v>
      </c>
      <c r="I941" t="s">
        <v>66</v>
      </c>
      <c r="K941" t="str">
        <f t="shared" si="43"/>
        <v/>
      </c>
      <c r="L941" s="1">
        <v>75</v>
      </c>
      <c r="M941" t="s">
        <v>2065</v>
      </c>
      <c r="N941" t="s">
        <v>2066</v>
      </c>
      <c r="O941">
        <v>4.3</v>
      </c>
      <c r="P941">
        <v>0</v>
      </c>
      <c r="Q941" t="s">
        <v>2077</v>
      </c>
      <c r="R941">
        <v>0.9</v>
      </c>
      <c r="S941" s="2">
        <v>0.9</v>
      </c>
      <c r="T941" s="2" t="str">
        <f t="shared" si="44"/>
        <v>81% to 90%</v>
      </c>
    </row>
    <row r="942" spans="1:20" x14ac:dyDescent="0.3">
      <c r="A942" t="s">
        <v>1942</v>
      </c>
      <c r="B942" t="s">
        <v>1943</v>
      </c>
      <c r="C942" t="s">
        <v>15</v>
      </c>
      <c r="D942" t="s">
        <v>20</v>
      </c>
      <c r="E942">
        <v>50</v>
      </c>
      <c r="F942" t="str">
        <f t="shared" si="42"/>
        <v>41 to 50</v>
      </c>
      <c r="G942" t="s">
        <v>188</v>
      </c>
      <c r="H942" t="s">
        <v>189</v>
      </c>
      <c r="I942" t="s">
        <v>63</v>
      </c>
      <c r="J942">
        <v>13</v>
      </c>
      <c r="K942" t="str">
        <f t="shared" si="43"/>
        <v>11 to 20</v>
      </c>
      <c r="O942">
        <v>2.5</v>
      </c>
      <c r="P942" t="s">
        <v>96</v>
      </c>
      <c r="Q942" t="s">
        <v>2076</v>
      </c>
      <c r="R942">
        <v>0.81</v>
      </c>
      <c r="S942" s="2">
        <v>0.81</v>
      </c>
      <c r="T942" s="2" t="str">
        <f t="shared" si="44"/>
        <v>81% to 90%</v>
      </c>
    </row>
    <row r="943" spans="1:20" x14ac:dyDescent="0.3">
      <c r="A943" t="s">
        <v>1944</v>
      </c>
      <c r="B943" t="s">
        <v>1945</v>
      </c>
      <c r="C943" t="s">
        <v>76</v>
      </c>
      <c r="D943" t="s">
        <v>80</v>
      </c>
      <c r="E943">
        <v>27</v>
      </c>
      <c r="F943" t="str">
        <f t="shared" si="42"/>
        <v>21 to 30</v>
      </c>
      <c r="G943" t="s">
        <v>87</v>
      </c>
      <c r="H943" t="s">
        <v>88</v>
      </c>
      <c r="I943" t="s">
        <v>33</v>
      </c>
      <c r="J943">
        <v>1</v>
      </c>
      <c r="K943" t="str">
        <f t="shared" si="43"/>
        <v>0 to 10</v>
      </c>
      <c r="L943" s="1">
        <v>30</v>
      </c>
      <c r="M943" t="s">
        <v>2069</v>
      </c>
      <c r="O943">
        <v>1.7</v>
      </c>
      <c r="P943" t="b">
        <v>0</v>
      </c>
      <c r="Q943" t="s">
        <v>2077</v>
      </c>
      <c r="R943">
        <v>0.65</v>
      </c>
      <c r="S943" s="2">
        <v>0.65</v>
      </c>
      <c r="T943" s="2" t="str">
        <f t="shared" si="44"/>
        <v>61% to 70 %</v>
      </c>
    </row>
    <row r="944" spans="1:20" x14ac:dyDescent="0.3">
      <c r="A944" t="s">
        <v>1946</v>
      </c>
      <c r="B944" t="s">
        <v>1947</v>
      </c>
      <c r="C944" t="s">
        <v>76</v>
      </c>
      <c r="D944" t="s">
        <v>80</v>
      </c>
      <c r="E944">
        <v>22</v>
      </c>
      <c r="F944" t="str">
        <f t="shared" si="42"/>
        <v>21 to 30</v>
      </c>
      <c r="G944" t="s">
        <v>139</v>
      </c>
      <c r="H944" t="s">
        <v>59</v>
      </c>
      <c r="I944" t="s">
        <v>60</v>
      </c>
      <c r="J944">
        <v>1</v>
      </c>
      <c r="K944" t="str">
        <f t="shared" si="43"/>
        <v>0 to 10</v>
      </c>
      <c r="L944" s="1">
        <v>20</v>
      </c>
      <c r="M944" t="s">
        <v>2072</v>
      </c>
      <c r="O944">
        <v>4.8</v>
      </c>
      <c r="P944" t="b">
        <v>0</v>
      </c>
      <c r="Q944" t="s">
        <v>2077</v>
      </c>
      <c r="R944">
        <v>0.87</v>
      </c>
      <c r="S944" s="2">
        <v>0.87</v>
      </c>
      <c r="T944" s="2" t="str">
        <f t="shared" si="44"/>
        <v>81% to 90%</v>
      </c>
    </row>
    <row r="945" spans="1:21" x14ac:dyDescent="0.3">
      <c r="A945" t="s">
        <v>1948</v>
      </c>
      <c r="B945" t="s">
        <v>1949</v>
      </c>
      <c r="C945" t="s">
        <v>15</v>
      </c>
      <c r="D945" t="s">
        <v>20</v>
      </c>
      <c r="E945">
        <v>53</v>
      </c>
      <c r="F945" t="str">
        <f t="shared" si="42"/>
        <v>51 to 60</v>
      </c>
      <c r="G945" t="s">
        <v>42</v>
      </c>
      <c r="H945" t="s">
        <v>43</v>
      </c>
      <c r="I945" t="s">
        <v>47</v>
      </c>
      <c r="J945">
        <v>27</v>
      </c>
      <c r="K945" t="str">
        <f t="shared" si="43"/>
        <v>21 to 30</v>
      </c>
      <c r="L945" s="1">
        <v>100</v>
      </c>
      <c r="M945" t="s">
        <v>2070</v>
      </c>
      <c r="O945">
        <v>3.7</v>
      </c>
      <c r="P945" t="s">
        <v>67</v>
      </c>
      <c r="Q945" t="s">
        <v>2077</v>
      </c>
      <c r="R945">
        <v>0.73</v>
      </c>
      <c r="S945" s="2">
        <v>0.73</v>
      </c>
      <c r="T945" s="2" t="str">
        <f t="shared" si="44"/>
        <v>71% to 80%</v>
      </c>
    </row>
    <row r="946" spans="1:21" x14ac:dyDescent="0.3">
      <c r="A946" t="s">
        <v>1950</v>
      </c>
      <c r="B946" t="s">
        <v>1951</v>
      </c>
      <c r="C946" t="s">
        <v>36</v>
      </c>
      <c r="D946" t="s">
        <v>20</v>
      </c>
      <c r="E946">
        <v>34</v>
      </c>
      <c r="F946" t="str">
        <f t="shared" si="42"/>
        <v>31 to 40</v>
      </c>
      <c r="G946" t="s">
        <v>23</v>
      </c>
      <c r="H946" t="s">
        <v>24</v>
      </c>
      <c r="I946" t="s">
        <v>33</v>
      </c>
      <c r="J946">
        <v>0</v>
      </c>
      <c r="K946" t="str">
        <f t="shared" si="43"/>
        <v>0 to 10</v>
      </c>
      <c r="L946" s="1">
        <v>40</v>
      </c>
      <c r="M946" t="s">
        <v>2067</v>
      </c>
      <c r="O946">
        <v>3.3</v>
      </c>
      <c r="P946">
        <v>0</v>
      </c>
      <c r="Q946" t="s">
        <v>2077</v>
      </c>
      <c r="R946">
        <v>0.98</v>
      </c>
      <c r="S946" s="2">
        <v>0.98</v>
      </c>
      <c r="T946" s="2" t="str">
        <f t="shared" si="44"/>
        <v>91% to 100%</v>
      </c>
    </row>
    <row r="947" spans="1:21" x14ac:dyDescent="0.3">
      <c r="A947" t="s">
        <v>1952</v>
      </c>
      <c r="B947" t="s">
        <v>1953</v>
      </c>
      <c r="C947" t="s">
        <v>15</v>
      </c>
      <c r="D947" t="s">
        <v>20</v>
      </c>
      <c r="E947">
        <v>38</v>
      </c>
      <c r="F947" t="str">
        <f t="shared" si="42"/>
        <v>31 to 40</v>
      </c>
      <c r="G947" t="s">
        <v>83</v>
      </c>
      <c r="H947" t="s">
        <v>84</v>
      </c>
      <c r="I947" t="s">
        <v>47</v>
      </c>
      <c r="J947">
        <v>19</v>
      </c>
      <c r="K947" t="str">
        <f t="shared" si="43"/>
        <v>11 to 20</v>
      </c>
      <c r="L947" s="1">
        <v>100</v>
      </c>
      <c r="M947" t="s">
        <v>2068</v>
      </c>
      <c r="N947" t="s">
        <v>2070</v>
      </c>
      <c r="O947">
        <v>4.2</v>
      </c>
      <c r="P947" t="s">
        <v>53</v>
      </c>
      <c r="Q947" t="s">
        <v>2077</v>
      </c>
      <c r="R947">
        <v>0.68</v>
      </c>
      <c r="S947" s="2">
        <v>0.68</v>
      </c>
      <c r="T947" s="2" t="str">
        <f t="shared" si="44"/>
        <v>61% to 70 %</v>
      </c>
    </row>
    <row r="948" spans="1:21" x14ac:dyDescent="0.3">
      <c r="A948" t="s">
        <v>1954</v>
      </c>
      <c r="B948" t="s">
        <v>1955</v>
      </c>
      <c r="C948" t="s">
        <v>15</v>
      </c>
      <c r="D948" t="s">
        <v>20</v>
      </c>
      <c r="E948">
        <v>59</v>
      </c>
      <c r="F948" t="str">
        <f t="shared" si="42"/>
        <v>51 to 60</v>
      </c>
      <c r="G948" t="s">
        <v>101</v>
      </c>
      <c r="H948" t="s">
        <v>59</v>
      </c>
      <c r="I948" t="s">
        <v>108</v>
      </c>
      <c r="J948">
        <v>9</v>
      </c>
      <c r="K948" t="str">
        <f t="shared" si="43"/>
        <v>0 to 10</v>
      </c>
      <c r="L948" s="1">
        <v>75</v>
      </c>
      <c r="M948" t="s">
        <v>2068</v>
      </c>
      <c r="N948" t="s">
        <v>2066</v>
      </c>
      <c r="O948">
        <v>4</v>
      </c>
      <c r="P948">
        <v>1</v>
      </c>
      <c r="Q948" t="s">
        <v>2076</v>
      </c>
      <c r="R948">
        <v>96</v>
      </c>
      <c r="S948" s="2">
        <v>0.96</v>
      </c>
      <c r="T948" s="2" t="str">
        <f t="shared" si="44"/>
        <v>91% to 100%</v>
      </c>
      <c r="U948">
        <v>0.96</v>
      </c>
    </row>
    <row r="949" spans="1:21" x14ac:dyDescent="0.3">
      <c r="A949" t="s">
        <v>1956</v>
      </c>
      <c r="B949" t="s">
        <v>1957</v>
      </c>
      <c r="C949" t="s">
        <v>15</v>
      </c>
      <c r="D949" t="s">
        <v>20</v>
      </c>
      <c r="E949">
        <v>43</v>
      </c>
      <c r="F949" t="str">
        <f t="shared" si="42"/>
        <v>41 to 50</v>
      </c>
      <c r="G949" t="s">
        <v>77</v>
      </c>
      <c r="H949" t="s">
        <v>78</v>
      </c>
      <c r="I949" t="s">
        <v>108</v>
      </c>
      <c r="K949" t="str">
        <f t="shared" si="43"/>
        <v/>
      </c>
      <c r="L949" s="1">
        <v>20</v>
      </c>
      <c r="M949" t="s">
        <v>2068</v>
      </c>
      <c r="N949" t="s">
        <v>2072</v>
      </c>
      <c r="O949">
        <v>2.8</v>
      </c>
      <c r="R949">
        <v>0.99</v>
      </c>
      <c r="S949" s="2">
        <v>0.99</v>
      </c>
      <c r="T949" s="2" t="str">
        <f t="shared" si="44"/>
        <v>91% to 100%</v>
      </c>
    </row>
    <row r="950" spans="1:21" x14ac:dyDescent="0.3">
      <c r="A950" t="s">
        <v>1958</v>
      </c>
      <c r="B950" t="s">
        <v>1959</v>
      </c>
      <c r="C950" t="s">
        <v>111</v>
      </c>
      <c r="D950" t="s">
        <v>80</v>
      </c>
      <c r="E950">
        <v>38</v>
      </c>
      <c r="F950" t="str">
        <f t="shared" si="42"/>
        <v>31 to 40</v>
      </c>
      <c r="G950" t="s">
        <v>37</v>
      </c>
      <c r="H950" t="s">
        <v>38</v>
      </c>
      <c r="I950" t="s">
        <v>52</v>
      </c>
      <c r="J950">
        <v>8</v>
      </c>
      <c r="K950" t="str">
        <f t="shared" si="43"/>
        <v>0 to 10</v>
      </c>
      <c r="L950" s="1">
        <v>30</v>
      </c>
      <c r="M950" t="s">
        <v>2069</v>
      </c>
      <c r="O950">
        <v>4</v>
      </c>
      <c r="P950">
        <v>1</v>
      </c>
      <c r="Q950" t="s">
        <v>2076</v>
      </c>
      <c r="R950">
        <v>0.92</v>
      </c>
      <c r="S950" s="2">
        <v>0.92</v>
      </c>
      <c r="T950" s="2" t="str">
        <f t="shared" si="44"/>
        <v>91% to 100%</v>
      </c>
    </row>
    <row r="951" spans="1:21" x14ac:dyDescent="0.3">
      <c r="A951" t="s">
        <v>1960</v>
      </c>
      <c r="B951" t="s">
        <v>1961</v>
      </c>
      <c r="C951" t="s">
        <v>76</v>
      </c>
      <c r="D951" t="s">
        <v>80</v>
      </c>
      <c r="E951">
        <v>56</v>
      </c>
      <c r="F951" t="str">
        <f t="shared" si="42"/>
        <v>51 to 60</v>
      </c>
      <c r="G951" t="s">
        <v>16</v>
      </c>
      <c r="H951" t="s">
        <v>17</v>
      </c>
      <c r="I951" t="s">
        <v>66</v>
      </c>
      <c r="J951">
        <v>17</v>
      </c>
      <c r="K951" t="str">
        <f t="shared" si="43"/>
        <v>11 to 20</v>
      </c>
      <c r="O951">
        <v>1.3</v>
      </c>
      <c r="R951">
        <v>0.87</v>
      </c>
      <c r="S951" s="2">
        <v>0.87</v>
      </c>
      <c r="T951" s="2" t="str">
        <f t="shared" si="44"/>
        <v>81% to 90%</v>
      </c>
    </row>
    <row r="952" spans="1:21" x14ac:dyDescent="0.3">
      <c r="A952" t="s">
        <v>1962</v>
      </c>
      <c r="B952" t="s">
        <v>1963</v>
      </c>
      <c r="C952" t="s">
        <v>36</v>
      </c>
      <c r="D952" t="s">
        <v>20</v>
      </c>
      <c r="E952">
        <v>44</v>
      </c>
      <c r="F952" t="str">
        <f t="shared" si="42"/>
        <v>41 to 50</v>
      </c>
      <c r="G952" t="s">
        <v>104</v>
      </c>
      <c r="H952" t="s">
        <v>105</v>
      </c>
      <c r="I952" t="s">
        <v>47</v>
      </c>
      <c r="J952">
        <v>4</v>
      </c>
      <c r="K952" t="str">
        <f t="shared" si="43"/>
        <v>0 to 10</v>
      </c>
      <c r="O952">
        <v>1.3</v>
      </c>
      <c r="P952" t="s">
        <v>19</v>
      </c>
      <c r="Q952" t="s">
        <v>2076</v>
      </c>
      <c r="R952">
        <v>77</v>
      </c>
      <c r="S952" s="2">
        <v>0.77</v>
      </c>
      <c r="T952" s="2" t="str">
        <f t="shared" si="44"/>
        <v>71% to 80%</v>
      </c>
      <c r="U952">
        <v>0.77</v>
      </c>
    </row>
    <row r="953" spans="1:21" x14ac:dyDescent="0.3">
      <c r="A953" t="s">
        <v>1964</v>
      </c>
      <c r="B953" t="s">
        <v>1965</v>
      </c>
      <c r="C953" t="s">
        <v>15</v>
      </c>
      <c r="D953" t="s">
        <v>20</v>
      </c>
      <c r="E953">
        <v>53</v>
      </c>
      <c r="F953" t="str">
        <f t="shared" si="42"/>
        <v>51 to 60</v>
      </c>
      <c r="G953" t="s">
        <v>101</v>
      </c>
      <c r="H953" t="s">
        <v>59</v>
      </c>
      <c r="I953" t="s">
        <v>63</v>
      </c>
      <c r="J953">
        <v>9</v>
      </c>
      <c r="K953" t="str">
        <f t="shared" si="43"/>
        <v>0 to 10</v>
      </c>
      <c r="L953" s="1">
        <v>50</v>
      </c>
      <c r="M953" t="s">
        <v>2071</v>
      </c>
      <c r="O953">
        <v>4</v>
      </c>
      <c r="P953" t="s">
        <v>96</v>
      </c>
      <c r="Q953" t="s">
        <v>2076</v>
      </c>
      <c r="R953">
        <v>0.72</v>
      </c>
      <c r="S953" s="2">
        <v>0.72</v>
      </c>
      <c r="T953" s="2" t="str">
        <f t="shared" si="44"/>
        <v>71% to 80%</v>
      </c>
    </row>
    <row r="954" spans="1:21" x14ac:dyDescent="0.3">
      <c r="A954" t="s">
        <v>1966</v>
      </c>
      <c r="B954" t="s">
        <v>1967</v>
      </c>
      <c r="C954" t="s">
        <v>36</v>
      </c>
      <c r="D954" t="s">
        <v>20</v>
      </c>
      <c r="E954">
        <v>55</v>
      </c>
      <c r="F954" t="str">
        <f t="shared" si="42"/>
        <v>51 to 60</v>
      </c>
      <c r="G954" t="s">
        <v>91</v>
      </c>
      <c r="H954" t="s">
        <v>59</v>
      </c>
      <c r="I954" t="s">
        <v>63</v>
      </c>
      <c r="J954">
        <v>10</v>
      </c>
      <c r="K954" t="str">
        <f t="shared" si="43"/>
        <v>0 to 10</v>
      </c>
      <c r="L954" s="1">
        <v>40</v>
      </c>
      <c r="M954" t="s">
        <v>2067</v>
      </c>
      <c r="O954">
        <v>2</v>
      </c>
      <c r="P954" t="s">
        <v>67</v>
      </c>
      <c r="Q954" t="s">
        <v>2077</v>
      </c>
      <c r="R954">
        <v>0.85</v>
      </c>
      <c r="S954" s="2">
        <v>0.85</v>
      </c>
      <c r="T954" s="2" t="str">
        <f t="shared" si="44"/>
        <v>81% to 90%</v>
      </c>
    </row>
    <row r="955" spans="1:21" x14ac:dyDescent="0.3">
      <c r="A955" t="s">
        <v>1968</v>
      </c>
      <c r="B955" t="s">
        <v>1969</v>
      </c>
      <c r="C955" t="s">
        <v>76</v>
      </c>
      <c r="D955" t="s">
        <v>80</v>
      </c>
      <c r="E955">
        <v>57</v>
      </c>
      <c r="F955" t="str">
        <f t="shared" si="42"/>
        <v>51 to 60</v>
      </c>
      <c r="G955" t="s">
        <v>58</v>
      </c>
      <c r="H955" t="s">
        <v>59</v>
      </c>
      <c r="I955" t="s">
        <v>66</v>
      </c>
      <c r="J955">
        <v>11</v>
      </c>
      <c r="K955" t="str">
        <f t="shared" si="43"/>
        <v>11 to 20</v>
      </c>
      <c r="L955" s="1">
        <v>75</v>
      </c>
      <c r="M955" t="s">
        <v>2068</v>
      </c>
      <c r="N955" t="s">
        <v>2066</v>
      </c>
      <c r="O955">
        <v>2.2999999999999998</v>
      </c>
      <c r="P955">
        <v>0</v>
      </c>
      <c r="Q955" t="s">
        <v>2077</v>
      </c>
      <c r="T955" s="2" t="str">
        <f t="shared" si="44"/>
        <v/>
      </c>
    </row>
    <row r="956" spans="1:21" x14ac:dyDescent="0.3">
      <c r="A956" t="s">
        <v>1970</v>
      </c>
      <c r="B956" t="s">
        <v>1971</v>
      </c>
      <c r="C956" t="s">
        <v>36</v>
      </c>
      <c r="D956" t="s">
        <v>20</v>
      </c>
      <c r="E956">
        <v>28</v>
      </c>
      <c r="F956" t="str">
        <f t="shared" si="42"/>
        <v>21 to 30</v>
      </c>
      <c r="G956" t="s">
        <v>42</v>
      </c>
      <c r="H956" t="s">
        <v>43</v>
      </c>
      <c r="I956" t="s">
        <v>63</v>
      </c>
      <c r="J956">
        <v>7</v>
      </c>
      <c r="K956" t="str">
        <f t="shared" si="43"/>
        <v>0 to 10</v>
      </c>
      <c r="L956" s="1">
        <v>100</v>
      </c>
      <c r="M956" t="s">
        <v>2065</v>
      </c>
      <c r="N956" t="s">
        <v>2070</v>
      </c>
      <c r="O956">
        <v>4.3</v>
      </c>
      <c r="P956" t="b">
        <v>0</v>
      </c>
      <c r="Q956" t="s">
        <v>2077</v>
      </c>
      <c r="R956">
        <v>0.76</v>
      </c>
      <c r="S956" s="2">
        <v>0.76</v>
      </c>
      <c r="T956" s="2" t="str">
        <f t="shared" si="44"/>
        <v>71% to 80%</v>
      </c>
    </row>
    <row r="957" spans="1:21" x14ac:dyDescent="0.3">
      <c r="A957" t="s">
        <v>1972</v>
      </c>
      <c r="B957" t="s">
        <v>1973</v>
      </c>
      <c r="C957" t="s">
        <v>15</v>
      </c>
      <c r="D957" t="s">
        <v>20</v>
      </c>
      <c r="E957">
        <v>47</v>
      </c>
      <c r="F957" t="str">
        <f t="shared" si="42"/>
        <v>41 to 50</v>
      </c>
      <c r="G957" t="s">
        <v>42</v>
      </c>
      <c r="H957" t="s">
        <v>43</v>
      </c>
      <c r="I957" t="s">
        <v>52</v>
      </c>
      <c r="J957">
        <v>7</v>
      </c>
      <c r="K957" t="str">
        <f t="shared" si="43"/>
        <v>0 to 10</v>
      </c>
      <c r="L957" s="1">
        <v>30</v>
      </c>
      <c r="M957" t="s">
        <v>2068</v>
      </c>
      <c r="N957" t="s">
        <v>2069</v>
      </c>
      <c r="R957">
        <v>69</v>
      </c>
      <c r="S957" s="2">
        <v>0.69</v>
      </c>
      <c r="T957" s="2" t="str">
        <f t="shared" si="44"/>
        <v>61% to 70 %</v>
      </c>
      <c r="U957">
        <v>0.69</v>
      </c>
    </row>
    <row r="958" spans="1:21" x14ac:dyDescent="0.3">
      <c r="A958" t="s">
        <v>1974</v>
      </c>
      <c r="B958" t="s">
        <v>1975</v>
      </c>
      <c r="C958" t="s">
        <v>15</v>
      </c>
      <c r="D958" t="s">
        <v>20</v>
      </c>
      <c r="E958">
        <v>38</v>
      </c>
      <c r="F958" t="str">
        <f t="shared" si="42"/>
        <v>31 to 40</v>
      </c>
      <c r="G958" t="s">
        <v>139</v>
      </c>
      <c r="H958" t="s">
        <v>59</v>
      </c>
      <c r="I958" t="s">
        <v>79</v>
      </c>
      <c r="J958">
        <v>15</v>
      </c>
      <c r="K958" t="str">
        <f t="shared" si="43"/>
        <v>11 to 20</v>
      </c>
      <c r="O958">
        <v>4.2</v>
      </c>
      <c r="P958">
        <v>0</v>
      </c>
      <c r="Q958" t="s">
        <v>2077</v>
      </c>
      <c r="R958">
        <v>0.88</v>
      </c>
      <c r="S958" s="2">
        <v>0.88</v>
      </c>
      <c r="T958" s="2" t="str">
        <f t="shared" si="44"/>
        <v>81% to 90%</v>
      </c>
    </row>
    <row r="959" spans="1:21" x14ac:dyDescent="0.3">
      <c r="A959" t="s">
        <v>1976</v>
      </c>
      <c r="B959" t="s">
        <v>1977</v>
      </c>
      <c r="C959" t="s">
        <v>111</v>
      </c>
      <c r="D959" t="s">
        <v>80</v>
      </c>
      <c r="E959">
        <v>54</v>
      </c>
      <c r="F959" t="str">
        <f t="shared" si="42"/>
        <v>51 to 60</v>
      </c>
      <c r="G959" t="s">
        <v>155</v>
      </c>
      <c r="H959" t="s">
        <v>17</v>
      </c>
      <c r="I959" t="s">
        <v>108</v>
      </c>
      <c r="J959">
        <v>1</v>
      </c>
      <c r="K959" t="str">
        <f t="shared" si="43"/>
        <v>0 to 10</v>
      </c>
      <c r="L959" s="1">
        <v>75</v>
      </c>
      <c r="M959" t="s">
        <v>2066</v>
      </c>
      <c r="O959">
        <v>4.4000000000000004</v>
      </c>
      <c r="P959" t="s">
        <v>96</v>
      </c>
      <c r="Q959" t="s">
        <v>2076</v>
      </c>
      <c r="T959" s="2" t="str">
        <f t="shared" si="44"/>
        <v/>
      </c>
    </row>
    <row r="960" spans="1:21" x14ac:dyDescent="0.3">
      <c r="A960" t="s">
        <v>1978</v>
      </c>
      <c r="B960" t="s">
        <v>1979</v>
      </c>
      <c r="C960" t="s">
        <v>111</v>
      </c>
      <c r="D960" t="s">
        <v>80</v>
      </c>
      <c r="E960">
        <v>20</v>
      </c>
      <c r="F960" t="str">
        <f t="shared" si="42"/>
        <v>11 to 20</v>
      </c>
      <c r="G960" t="s">
        <v>31</v>
      </c>
      <c r="H960" t="s">
        <v>32</v>
      </c>
      <c r="I960" t="s">
        <v>39</v>
      </c>
      <c r="J960">
        <v>1</v>
      </c>
      <c r="K960" t="str">
        <f t="shared" si="43"/>
        <v>0 to 10</v>
      </c>
      <c r="L960" s="1">
        <v>30</v>
      </c>
      <c r="M960" t="s">
        <v>2068</v>
      </c>
      <c r="N960" t="s">
        <v>2069</v>
      </c>
      <c r="O960">
        <v>2</v>
      </c>
      <c r="P960" t="s">
        <v>67</v>
      </c>
      <c r="Q960" t="s">
        <v>2077</v>
      </c>
      <c r="R960">
        <v>0.89</v>
      </c>
      <c r="S960" s="2">
        <v>0.89</v>
      </c>
      <c r="T960" s="2" t="str">
        <f t="shared" si="44"/>
        <v>81% to 90%</v>
      </c>
    </row>
    <row r="961" spans="1:21" x14ac:dyDescent="0.3">
      <c r="A961" t="s">
        <v>1980</v>
      </c>
      <c r="B961" t="s">
        <v>1981</v>
      </c>
      <c r="C961" t="s">
        <v>15</v>
      </c>
      <c r="D961" t="s">
        <v>20</v>
      </c>
      <c r="E961">
        <v>57</v>
      </c>
      <c r="F961" t="str">
        <f t="shared" si="42"/>
        <v>51 to 60</v>
      </c>
      <c r="G961" t="s">
        <v>16</v>
      </c>
      <c r="H961" t="s">
        <v>17</v>
      </c>
      <c r="I961" t="s">
        <v>18</v>
      </c>
      <c r="J961">
        <v>11</v>
      </c>
      <c r="K961" t="str">
        <f t="shared" si="43"/>
        <v>11 to 20</v>
      </c>
      <c r="L961" s="1">
        <v>20</v>
      </c>
      <c r="M961" t="s">
        <v>2068</v>
      </c>
      <c r="N961" t="s">
        <v>2072</v>
      </c>
      <c r="O961">
        <v>4.9000000000000004</v>
      </c>
      <c r="P961" t="s">
        <v>96</v>
      </c>
      <c r="Q961" t="s">
        <v>2076</v>
      </c>
      <c r="T961" s="2" t="str">
        <f t="shared" si="44"/>
        <v/>
      </c>
    </row>
    <row r="962" spans="1:21" x14ac:dyDescent="0.3">
      <c r="A962" t="s">
        <v>1982</v>
      </c>
      <c r="B962" t="s">
        <v>1983</v>
      </c>
      <c r="C962" t="s">
        <v>15</v>
      </c>
      <c r="D962" t="s">
        <v>20</v>
      </c>
      <c r="E962">
        <v>25</v>
      </c>
      <c r="F962" t="str">
        <f t="shared" ref="F962:F1001" si="45">IF(OR($E962="",NOT(ISNUMBER($E962))),"",
 IF($E962&lt;=20,"11 to 20",
 IF($E962&lt;=30,"21 to 30",
 IF($E962&lt;=40,"31 to 40",
 IF($E962&lt;=50,"41 to 50",
 IF($E962&lt;=60,"51 to 60"))))))</f>
        <v>21 to 30</v>
      </c>
      <c r="G962" t="s">
        <v>139</v>
      </c>
      <c r="H962" t="s">
        <v>59</v>
      </c>
      <c r="I962" t="s">
        <v>79</v>
      </c>
      <c r="J962">
        <v>3</v>
      </c>
      <c r="K962" t="str">
        <f t="shared" ref="K962:K1001" si="46">IF(OR($J962="",NOT(ISNUMBER($J962))),"",
 IF($J962&lt;=10,"0 to 10",
 IF($J962&lt;=20,"11 to 20",
 IF($J962&lt;=30,"21 to 30",
 IF($J962&lt;=40,"31 to 40",
 "40+")))))</f>
        <v>0 to 10</v>
      </c>
      <c r="L962" s="1">
        <v>30</v>
      </c>
      <c r="M962" t="s">
        <v>2065</v>
      </c>
      <c r="N962" t="s">
        <v>2069</v>
      </c>
      <c r="P962" t="s">
        <v>67</v>
      </c>
      <c r="Q962" t="s">
        <v>2077</v>
      </c>
      <c r="R962">
        <v>0.88</v>
      </c>
      <c r="S962" s="2">
        <v>0.88</v>
      </c>
      <c r="T962" s="2" t="str">
        <f t="shared" ref="T962:T1001" si="47">IF(OR($S962="",NOT(ISNUMBER($S962))),"",
 IF($S962&lt;=0.6,"50% to 60%",
 IF($S962&lt;=0.7,"61% to 70 %",
 IF($S962&lt;=0.8,"71% to 80%",
 IF($S962&lt;=0.9,"81% to 90%",
 IF($S962&lt;=1,"91% to 100%"))))))</f>
        <v>81% to 90%</v>
      </c>
    </row>
    <row r="963" spans="1:21" x14ac:dyDescent="0.3">
      <c r="A963" t="s">
        <v>1984</v>
      </c>
      <c r="B963" t="s">
        <v>1985</v>
      </c>
      <c r="C963" t="s">
        <v>36</v>
      </c>
      <c r="D963" t="s">
        <v>20</v>
      </c>
      <c r="E963">
        <v>58</v>
      </c>
      <c r="F963" t="str">
        <f t="shared" si="45"/>
        <v>51 to 60</v>
      </c>
      <c r="G963" t="s">
        <v>101</v>
      </c>
      <c r="H963" t="s">
        <v>59</v>
      </c>
      <c r="I963" t="s">
        <v>79</v>
      </c>
      <c r="J963">
        <v>20</v>
      </c>
      <c r="K963" t="str">
        <f t="shared" si="46"/>
        <v>11 to 20</v>
      </c>
      <c r="L963" s="1">
        <v>75</v>
      </c>
      <c r="M963" t="s">
        <v>2066</v>
      </c>
      <c r="O963">
        <v>2.8</v>
      </c>
      <c r="P963" t="s">
        <v>67</v>
      </c>
      <c r="Q963" t="s">
        <v>2077</v>
      </c>
      <c r="R963">
        <v>0.75</v>
      </c>
      <c r="S963" s="2">
        <v>0.75</v>
      </c>
      <c r="T963" s="2" t="str">
        <f t="shared" si="47"/>
        <v>71% to 80%</v>
      </c>
    </row>
    <row r="964" spans="1:21" x14ac:dyDescent="0.3">
      <c r="A964" t="s">
        <v>1986</v>
      </c>
      <c r="B964" t="s">
        <v>1987</v>
      </c>
      <c r="C964" t="s">
        <v>15</v>
      </c>
      <c r="D964" t="s">
        <v>20</v>
      </c>
      <c r="E964">
        <v>56</v>
      </c>
      <c r="F964" t="str">
        <f t="shared" si="45"/>
        <v>51 to 60</v>
      </c>
      <c r="G964" t="s">
        <v>139</v>
      </c>
      <c r="H964" t="s">
        <v>59</v>
      </c>
      <c r="I964" t="s">
        <v>63</v>
      </c>
      <c r="J964">
        <v>31</v>
      </c>
      <c r="K964" t="str">
        <f t="shared" si="46"/>
        <v>31 to 40</v>
      </c>
      <c r="L964" s="1">
        <v>50</v>
      </c>
      <c r="M964" t="s">
        <v>2068</v>
      </c>
      <c r="N964" t="s">
        <v>2071</v>
      </c>
      <c r="O964">
        <v>1.1000000000000001</v>
      </c>
      <c r="P964" t="s">
        <v>53</v>
      </c>
      <c r="Q964" t="s">
        <v>2077</v>
      </c>
      <c r="R964">
        <v>0.75</v>
      </c>
      <c r="S964" s="2">
        <v>0.75</v>
      </c>
      <c r="T964" s="2" t="str">
        <f t="shared" si="47"/>
        <v>71% to 80%</v>
      </c>
    </row>
    <row r="965" spans="1:21" x14ac:dyDescent="0.3">
      <c r="A965" t="s">
        <v>1988</v>
      </c>
      <c r="B965" t="s">
        <v>1989</v>
      </c>
      <c r="C965" t="s">
        <v>15</v>
      </c>
      <c r="D965" t="s">
        <v>20</v>
      </c>
      <c r="E965">
        <v>28</v>
      </c>
      <c r="F965" t="str">
        <f t="shared" si="45"/>
        <v>21 to 30</v>
      </c>
      <c r="G965" t="s">
        <v>139</v>
      </c>
      <c r="H965" t="s">
        <v>59</v>
      </c>
      <c r="I965" t="s">
        <v>63</v>
      </c>
      <c r="J965">
        <v>1</v>
      </c>
      <c r="K965" t="str">
        <f t="shared" si="46"/>
        <v>0 to 10</v>
      </c>
      <c r="L965" s="1">
        <v>20</v>
      </c>
      <c r="M965" t="s">
        <v>2068</v>
      </c>
      <c r="N965" t="s">
        <v>2072</v>
      </c>
      <c r="O965">
        <v>4.7</v>
      </c>
      <c r="P965" t="b">
        <v>0</v>
      </c>
      <c r="Q965" t="s">
        <v>2077</v>
      </c>
      <c r="R965">
        <v>0.93</v>
      </c>
      <c r="S965" s="2">
        <v>0.93</v>
      </c>
      <c r="T965" s="2" t="str">
        <f t="shared" si="47"/>
        <v>91% to 100%</v>
      </c>
    </row>
    <row r="966" spans="1:21" x14ac:dyDescent="0.3">
      <c r="A966" t="s">
        <v>1990</v>
      </c>
      <c r="B966" t="s">
        <v>1991</v>
      </c>
      <c r="C966" t="s">
        <v>15</v>
      </c>
      <c r="D966" t="s">
        <v>20</v>
      </c>
      <c r="E966">
        <v>27</v>
      </c>
      <c r="F966" t="str">
        <f t="shared" si="45"/>
        <v>21 to 30</v>
      </c>
      <c r="G966" t="s">
        <v>46</v>
      </c>
      <c r="H966" t="s">
        <v>17</v>
      </c>
      <c r="I966" t="s">
        <v>63</v>
      </c>
      <c r="J966">
        <v>5</v>
      </c>
      <c r="K966" t="str">
        <f t="shared" si="46"/>
        <v>0 to 10</v>
      </c>
      <c r="L966" s="1">
        <v>30</v>
      </c>
      <c r="M966" t="s">
        <v>2069</v>
      </c>
      <c r="P966" t="s">
        <v>53</v>
      </c>
      <c r="Q966" t="s">
        <v>2077</v>
      </c>
      <c r="R966">
        <v>0.92</v>
      </c>
      <c r="S966" s="2">
        <v>0.92</v>
      </c>
      <c r="T966" s="2" t="str">
        <f t="shared" si="47"/>
        <v>91% to 100%</v>
      </c>
    </row>
    <row r="967" spans="1:21" x14ac:dyDescent="0.3">
      <c r="A967" t="s">
        <v>1992</v>
      </c>
      <c r="B967" t="s">
        <v>1993</v>
      </c>
      <c r="C967" t="s">
        <v>76</v>
      </c>
      <c r="D967" t="s">
        <v>80</v>
      </c>
      <c r="E967">
        <v>33</v>
      </c>
      <c r="F967" t="str">
        <f t="shared" si="45"/>
        <v>31 to 40</v>
      </c>
      <c r="G967" t="s">
        <v>31</v>
      </c>
      <c r="H967" t="s">
        <v>32</v>
      </c>
      <c r="I967" t="s">
        <v>18</v>
      </c>
      <c r="J967">
        <v>6</v>
      </c>
      <c r="K967" t="str">
        <f t="shared" si="46"/>
        <v>0 to 10</v>
      </c>
      <c r="L967" s="1">
        <v>40</v>
      </c>
      <c r="M967" t="s">
        <v>2067</v>
      </c>
      <c r="O967">
        <v>3.2</v>
      </c>
      <c r="P967">
        <v>1</v>
      </c>
      <c r="Q967" t="s">
        <v>2076</v>
      </c>
      <c r="R967">
        <v>0.95</v>
      </c>
      <c r="S967" s="2">
        <v>0.95</v>
      </c>
      <c r="T967" s="2" t="str">
        <f t="shared" si="47"/>
        <v>91% to 100%</v>
      </c>
    </row>
    <row r="968" spans="1:21" x14ac:dyDescent="0.3">
      <c r="A968" t="s">
        <v>1994</v>
      </c>
      <c r="B968" t="s">
        <v>1995</v>
      </c>
      <c r="C968" t="s">
        <v>111</v>
      </c>
      <c r="D968" t="s">
        <v>80</v>
      </c>
      <c r="E968">
        <v>20</v>
      </c>
      <c r="F968" t="str">
        <f t="shared" si="45"/>
        <v>11 to 20</v>
      </c>
      <c r="G968" t="s">
        <v>42</v>
      </c>
      <c r="H968" t="s">
        <v>43</v>
      </c>
      <c r="I968" t="s">
        <v>47</v>
      </c>
      <c r="K968" t="str">
        <f t="shared" si="46"/>
        <v/>
      </c>
      <c r="L968" s="1">
        <v>30</v>
      </c>
      <c r="M968" t="s">
        <v>2065</v>
      </c>
      <c r="N968" t="s">
        <v>2069</v>
      </c>
      <c r="O968">
        <v>4.5999999999999996</v>
      </c>
      <c r="P968">
        <v>1</v>
      </c>
      <c r="Q968" t="s">
        <v>2076</v>
      </c>
      <c r="T968" s="2" t="str">
        <f t="shared" si="47"/>
        <v/>
      </c>
    </row>
    <row r="969" spans="1:21" x14ac:dyDescent="0.3">
      <c r="A969" t="s">
        <v>1996</v>
      </c>
      <c r="B969" t="s">
        <v>1997</v>
      </c>
      <c r="C969" t="s">
        <v>76</v>
      </c>
      <c r="D969" t="s">
        <v>80</v>
      </c>
      <c r="E969">
        <v>52</v>
      </c>
      <c r="F969" t="str">
        <f t="shared" si="45"/>
        <v>51 to 60</v>
      </c>
      <c r="G969" t="s">
        <v>101</v>
      </c>
      <c r="H969" t="s">
        <v>59</v>
      </c>
      <c r="I969" t="s">
        <v>52</v>
      </c>
      <c r="J969">
        <v>34</v>
      </c>
      <c r="K969" t="str">
        <f t="shared" si="46"/>
        <v>31 to 40</v>
      </c>
      <c r="L969" s="1">
        <v>100</v>
      </c>
      <c r="M969" t="s">
        <v>2068</v>
      </c>
      <c r="N969" t="s">
        <v>2070</v>
      </c>
      <c r="O969">
        <v>3.3</v>
      </c>
      <c r="P969">
        <v>1</v>
      </c>
      <c r="Q969" t="s">
        <v>2076</v>
      </c>
      <c r="R969">
        <v>0.84</v>
      </c>
      <c r="S969" s="2">
        <v>0.84</v>
      </c>
      <c r="T969" s="2" t="str">
        <f t="shared" si="47"/>
        <v>81% to 90%</v>
      </c>
    </row>
    <row r="970" spans="1:21" x14ac:dyDescent="0.3">
      <c r="A970" t="s">
        <v>1998</v>
      </c>
      <c r="B970" t="s">
        <v>1999</v>
      </c>
      <c r="C970" t="s">
        <v>76</v>
      </c>
      <c r="D970" t="s">
        <v>80</v>
      </c>
      <c r="E970">
        <v>31</v>
      </c>
      <c r="F970" t="str">
        <f t="shared" si="45"/>
        <v>31 to 40</v>
      </c>
      <c r="G970" t="s">
        <v>46</v>
      </c>
      <c r="H970" t="s">
        <v>17</v>
      </c>
      <c r="I970" t="s">
        <v>52</v>
      </c>
      <c r="J970">
        <v>12</v>
      </c>
      <c r="K970" t="str">
        <f t="shared" si="46"/>
        <v>11 to 20</v>
      </c>
      <c r="L970" s="1">
        <v>20</v>
      </c>
      <c r="M970" t="s">
        <v>2072</v>
      </c>
      <c r="O970">
        <v>2.2999999999999998</v>
      </c>
      <c r="P970" t="b">
        <v>0</v>
      </c>
      <c r="Q970" t="s">
        <v>2077</v>
      </c>
      <c r="R970">
        <v>0.9</v>
      </c>
      <c r="S970" s="2">
        <v>0.9</v>
      </c>
      <c r="T970" s="2" t="str">
        <f t="shared" si="47"/>
        <v>81% to 90%</v>
      </c>
    </row>
    <row r="971" spans="1:21" x14ac:dyDescent="0.3">
      <c r="A971" t="s">
        <v>2000</v>
      </c>
      <c r="B971" t="s">
        <v>2001</v>
      </c>
      <c r="C971" t="s">
        <v>111</v>
      </c>
      <c r="D971" t="s">
        <v>80</v>
      </c>
      <c r="E971">
        <v>25</v>
      </c>
      <c r="F971" t="str">
        <f t="shared" si="45"/>
        <v>21 to 30</v>
      </c>
      <c r="G971" t="s">
        <v>87</v>
      </c>
      <c r="H971" t="s">
        <v>88</v>
      </c>
      <c r="I971" t="s">
        <v>39</v>
      </c>
      <c r="J971">
        <v>7</v>
      </c>
      <c r="K971" t="str">
        <f t="shared" si="46"/>
        <v>0 to 10</v>
      </c>
      <c r="L971" s="1">
        <v>40</v>
      </c>
      <c r="M971" t="s">
        <v>2068</v>
      </c>
      <c r="N971" t="s">
        <v>2067</v>
      </c>
      <c r="O971">
        <v>4.4000000000000004</v>
      </c>
      <c r="R971">
        <v>81</v>
      </c>
      <c r="S971" s="2">
        <v>0.81</v>
      </c>
      <c r="T971" s="2" t="str">
        <f t="shared" si="47"/>
        <v>81% to 90%</v>
      </c>
      <c r="U971">
        <v>0.81</v>
      </c>
    </row>
    <row r="972" spans="1:21" x14ac:dyDescent="0.3">
      <c r="A972" t="s">
        <v>2002</v>
      </c>
      <c r="B972" t="s">
        <v>2003</v>
      </c>
      <c r="C972" t="s">
        <v>111</v>
      </c>
      <c r="D972" t="s">
        <v>80</v>
      </c>
      <c r="E972">
        <v>21</v>
      </c>
      <c r="F972" t="str">
        <f t="shared" si="45"/>
        <v>21 to 30</v>
      </c>
      <c r="G972" t="s">
        <v>188</v>
      </c>
      <c r="H972" t="s">
        <v>189</v>
      </c>
      <c r="I972" t="s">
        <v>47</v>
      </c>
      <c r="J972">
        <v>2</v>
      </c>
      <c r="K972" t="str">
        <f t="shared" si="46"/>
        <v>0 to 10</v>
      </c>
      <c r="L972" s="1">
        <v>20</v>
      </c>
      <c r="M972" t="s">
        <v>2072</v>
      </c>
      <c r="O972">
        <v>2.4</v>
      </c>
      <c r="R972">
        <v>0.86</v>
      </c>
      <c r="S972" s="2">
        <v>0.86</v>
      </c>
      <c r="T972" s="2" t="str">
        <f t="shared" si="47"/>
        <v>81% to 90%</v>
      </c>
    </row>
    <row r="973" spans="1:21" x14ac:dyDescent="0.3">
      <c r="A973" t="s">
        <v>2004</v>
      </c>
      <c r="B973" t="s">
        <v>2005</v>
      </c>
      <c r="C973" t="s">
        <v>111</v>
      </c>
      <c r="D973" t="s">
        <v>80</v>
      </c>
      <c r="E973">
        <v>51</v>
      </c>
      <c r="F973" t="str">
        <f t="shared" si="45"/>
        <v>51 to 60</v>
      </c>
      <c r="G973" t="s">
        <v>50</v>
      </c>
      <c r="H973" t="s">
        <v>51</v>
      </c>
      <c r="I973" t="s">
        <v>79</v>
      </c>
      <c r="J973">
        <v>2</v>
      </c>
      <c r="K973" t="str">
        <f t="shared" si="46"/>
        <v>0 to 10</v>
      </c>
      <c r="L973" s="1">
        <v>30</v>
      </c>
      <c r="M973" t="s">
        <v>2065</v>
      </c>
      <c r="N973" t="s">
        <v>2069</v>
      </c>
      <c r="O973">
        <v>4.5</v>
      </c>
      <c r="P973">
        <v>0</v>
      </c>
      <c r="Q973" t="s">
        <v>2077</v>
      </c>
      <c r="R973">
        <v>64</v>
      </c>
      <c r="S973" s="2">
        <v>0.64</v>
      </c>
      <c r="T973" s="2" t="str">
        <f t="shared" si="47"/>
        <v>61% to 70 %</v>
      </c>
      <c r="U973">
        <v>0.64</v>
      </c>
    </row>
    <row r="974" spans="1:21" x14ac:dyDescent="0.3">
      <c r="A974" t="s">
        <v>2006</v>
      </c>
      <c r="B974" t="s">
        <v>2007</v>
      </c>
      <c r="C974" t="s">
        <v>76</v>
      </c>
      <c r="D974" t="s">
        <v>80</v>
      </c>
      <c r="E974">
        <v>55</v>
      </c>
      <c r="F974" t="str">
        <f t="shared" si="45"/>
        <v>51 to 60</v>
      </c>
      <c r="G974" t="s">
        <v>118</v>
      </c>
      <c r="H974" t="s">
        <v>119</v>
      </c>
      <c r="I974" t="s">
        <v>39</v>
      </c>
      <c r="J974">
        <v>0</v>
      </c>
      <c r="K974" t="str">
        <f t="shared" si="46"/>
        <v>0 to 10</v>
      </c>
      <c r="L974" s="1">
        <v>40</v>
      </c>
      <c r="M974" t="s">
        <v>2065</v>
      </c>
      <c r="N974" t="s">
        <v>2067</v>
      </c>
      <c r="O974">
        <v>0</v>
      </c>
      <c r="P974" t="b">
        <v>1</v>
      </c>
      <c r="Q974" t="s">
        <v>2076</v>
      </c>
      <c r="T974" s="2" t="str">
        <f t="shared" si="47"/>
        <v/>
      </c>
    </row>
    <row r="975" spans="1:21" x14ac:dyDescent="0.3">
      <c r="A975" t="s">
        <v>2008</v>
      </c>
      <c r="B975" t="s">
        <v>2009</v>
      </c>
      <c r="C975" t="s">
        <v>76</v>
      </c>
      <c r="D975" t="s">
        <v>80</v>
      </c>
      <c r="E975">
        <v>33</v>
      </c>
      <c r="F975" t="str">
        <f t="shared" si="45"/>
        <v>31 to 40</v>
      </c>
      <c r="G975" t="s">
        <v>139</v>
      </c>
      <c r="H975" t="s">
        <v>59</v>
      </c>
      <c r="I975" t="s">
        <v>18</v>
      </c>
      <c r="J975">
        <v>2</v>
      </c>
      <c r="K975" t="str">
        <f t="shared" si="46"/>
        <v>0 to 10</v>
      </c>
      <c r="L975" s="1">
        <v>100</v>
      </c>
      <c r="M975" t="s">
        <v>2068</v>
      </c>
      <c r="N975" t="s">
        <v>2070</v>
      </c>
      <c r="O975">
        <v>3.8</v>
      </c>
      <c r="P975" t="b">
        <v>0</v>
      </c>
      <c r="Q975" t="s">
        <v>2077</v>
      </c>
      <c r="T975" s="2" t="str">
        <f t="shared" si="47"/>
        <v/>
      </c>
    </row>
    <row r="976" spans="1:21" x14ac:dyDescent="0.3">
      <c r="A976" t="s">
        <v>2010</v>
      </c>
      <c r="B976" t="s">
        <v>2011</v>
      </c>
      <c r="C976" t="s">
        <v>111</v>
      </c>
      <c r="D976" t="s">
        <v>80</v>
      </c>
      <c r="E976">
        <v>37</v>
      </c>
      <c r="F976" t="str">
        <f t="shared" si="45"/>
        <v>31 to 40</v>
      </c>
      <c r="G976" t="s">
        <v>91</v>
      </c>
      <c r="H976" t="s">
        <v>59</v>
      </c>
      <c r="I976" t="s">
        <v>66</v>
      </c>
      <c r="K976" t="str">
        <f t="shared" si="46"/>
        <v/>
      </c>
      <c r="L976" s="1">
        <v>20</v>
      </c>
      <c r="M976" t="s">
        <v>2068</v>
      </c>
      <c r="N976" t="s">
        <v>2072</v>
      </c>
      <c r="O976">
        <v>4.9000000000000004</v>
      </c>
      <c r="P976" t="s">
        <v>53</v>
      </c>
      <c r="Q976" t="s">
        <v>2077</v>
      </c>
      <c r="T976" s="2" t="str">
        <f t="shared" si="47"/>
        <v/>
      </c>
    </row>
    <row r="977" spans="1:21" x14ac:dyDescent="0.3">
      <c r="A977" t="s">
        <v>2012</v>
      </c>
      <c r="B977" t="s">
        <v>2013</v>
      </c>
      <c r="C977" t="s">
        <v>111</v>
      </c>
      <c r="D977" t="s">
        <v>80</v>
      </c>
      <c r="E977">
        <v>28</v>
      </c>
      <c r="F977" t="str">
        <f t="shared" si="45"/>
        <v>21 to 30</v>
      </c>
      <c r="G977" t="s">
        <v>31</v>
      </c>
      <c r="H977" t="s">
        <v>32</v>
      </c>
      <c r="I977" t="s">
        <v>60</v>
      </c>
      <c r="J977">
        <v>2</v>
      </c>
      <c r="K977" t="str">
        <f t="shared" si="46"/>
        <v>0 to 10</v>
      </c>
      <c r="L977" s="1">
        <v>75</v>
      </c>
      <c r="M977" t="s">
        <v>2068</v>
      </c>
      <c r="N977" t="s">
        <v>2066</v>
      </c>
      <c r="O977">
        <v>1.5</v>
      </c>
      <c r="P977">
        <v>1</v>
      </c>
      <c r="Q977" t="s">
        <v>2076</v>
      </c>
      <c r="R977">
        <v>0.68</v>
      </c>
      <c r="S977" s="2">
        <v>0.68</v>
      </c>
      <c r="T977" s="2" t="str">
        <f t="shared" si="47"/>
        <v>61% to 70 %</v>
      </c>
    </row>
    <row r="978" spans="1:21" x14ac:dyDescent="0.3">
      <c r="A978" t="s">
        <v>2014</v>
      </c>
      <c r="B978" t="s">
        <v>2015</v>
      </c>
      <c r="C978" t="s">
        <v>36</v>
      </c>
      <c r="D978" t="s">
        <v>20</v>
      </c>
      <c r="E978">
        <v>54</v>
      </c>
      <c r="F978" t="str">
        <f t="shared" si="45"/>
        <v>51 to 60</v>
      </c>
      <c r="G978" t="s">
        <v>254</v>
      </c>
      <c r="H978" t="s">
        <v>255</v>
      </c>
      <c r="I978" t="s">
        <v>66</v>
      </c>
      <c r="J978">
        <v>29</v>
      </c>
      <c r="K978" t="str">
        <f t="shared" si="46"/>
        <v>21 to 30</v>
      </c>
      <c r="L978" s="1">
        <v>30</v>
      </c>
      <c r="M978" t="s">
        <v>2065</v>
      </c>
      <c r="N978" t="s">
        <v>2069</v>
      </c>
      <c r="O978">
        <v>1.7</v>
      </c>
      <c r="P978">
        <v>0</v>
      </c>
      <c r="Q978" t="s">
        <v>2077</v>
      </c>
      <c r="R978">
        <v>68</v>
      </c>
      <c r="S978" s="2">
        <v>0.68</v>
      </c>
      <c r="T978" s="2" t="str">
        <f t="shared" si="47"/>
        <v>61% to 70 %</v>
      </c>
      <c r="U978">
        <v>0.68</v>
      </c>
    </row>
    <row r="979" spans="1:21" x14ac:dyDescent="0.3">
      <c r="A979" t="s">
        <v>2016</v>
      </c>
      <c r="B979" t="s">
        <v>2017</v>
      </c>
      <c r="C979" t="s">
        <v>36</v>
      </c>
      <c r="D979" t="s">
        <v>20</v>
      </c>
      <c r="E979">
        <v>57</v>
      </c>
      <c r="F979" t="str">
        <f t="shared" si="45"/>
        <v>51 to 60</v>
      </c>
      <c r="G979" t="s">
        <v>254</v>
      </c>
      <c r="H979" t="s">
        <v>255</v>
      </c>
      <c r="I979" t="s">
        <v>18</v>
      </c>
      <c r="J979">
        <v>7</v>
      </c>
      <c r="K979" t="str">
        <f t="shared" si="46"/>
        <v>0 to 10</v>
      </c>
      <c r="L979" s="1">
        <v>30</v>
      </c>
      <c r="M979" t="s">
        <v>2069</v>
      </c>
      <c r="O979">
        <v>1.6</v>
      </c>
      <c r="P979" t="s">
        <v>67</v>
      </c>
      <c r="Q979" t="s">
        <v>2077</v>
      </c>
      <c r="T979" s="2" t="str">
        <f t="shared" si="47"/>
        <v/>
      </c>
    </row>
    <row r="980" spans="1:21" x14ac:dyDescent="0.3">
      <c r="A980" t="s">
        <v>2018</v>
      </c>
      <c r="B980" t="s">
        <v>2019</v>
      </c>
      <c r="C980" t="s">
        <v>36</v>
      </c>
      <c r="D980" t="s">
        <v>20</v>
      </c>
      <c r="E980">
        <v>36</v>
      </c>
      <c r="F980" t="str">
        <f t="shared" si="45"/>
        <v>31 to 40</v>
      </c>
      <c r="G980" t="s">
        <v>27</v>
      </c>
      <c r="H980" t="s">
        <v>28</v>
      </c>
      <c r="I980" t="s">
        <v>63</v>
      </c>
      <c r="J980">
        <v>7</v>
      </c>
      <c r="K980" t="str">
        <f t="shared" si="46"/>
        <v>0 to 10</v>
      </c>
      <c r="L980" s="1">
        <v>30</v>
      </c>
      <c r="M980" t="s">
        <v>2069</v>
      </c>
      <c r="O980">
        <v>0</v>
      </c>
      <c r="P980" t="s">
        <v>53</v>
      </c>
      <c r="Q980" t="s">
        <v>2077</v>
      </c>
      <c r="R980">
        <v>0.88</v>
      </c>
      <c r="S980" s="2">
        <v>0.88</v>
      </c>
      <c r="T980" s="2" t="str">
        <f t="shared" si="47"/>
        <v>81% to 90%</v>
      </c>
    </row>
    <row r="981" spans="1:21" x14ac:dyDescent="0.3">
      <c r="A981" t="s">
        <v>2020</v>
      </c>
      <c r="B981" t="s">
        <v>2021</v>
      </c>
      <c r="C981" t="s">
        <v>76</v>
      </c>
      <c r="D981" t="s">
        <v>80</v>
      </c>
      <c r="E981">
        <v>32</v>
      </c>
      <c r="F981" t="str">
        <f t="shared" si="45"/>
        <v>31 to 40</v>
      </c>
      <c r="G981" t="s">
        <v>101</v>
      </c>
      <c r="H981" t="s">
        <v>59</v>
      </c>
      <c r="I981" t="s">
        <v>66</v>
      </c>
      <c r="J981">
        <v>10</v>
      </c>
      <c r="K981" t="str">
        <f t="shared" si="46"/>
        <v>0 to 10</v>
      </c>
      <c r="L981" s="1">
        <v>50</v>
      </c>
      <c r="M981" t="s">
        <v>2068</v>
      </c>
      <c r="N981" t="s">
        <v>2071</v>
      </c>
      <c r="O981">
        <v>1.5</v>
      </c>
      <c r="P981" t="b">
        <v>0</v>
      </c>
      <c r="Q981" t="s">
        <v>2077</v>
      </c>
      <c r="R981">
        <v>0.65</v>
      </c>
      <c r="S981" s="2">
        <v>0.65</v>
      </c>
      <c r="T981" s="2" t="str">
        <f t="shared" si="47"/>
        <v>61% to 70 %</v>
      </c>
    </row>
    <row r="982" spans="1:21" x14ac:dyDescent="0.3">
      <c r="A982" t="s">
        <v>2022</v>
      </c>
      <c r="B982" t="s">
        <v>2023</v>
      </c>
      <c r="C982" t="s">
        <v>111</v>
      </c>
      <c r="D982" t="s">
        <v>80</v>
      </c>
      <c r="E982">
        <v>44</v>
      </c>
      <c r="F982" t="str">
        <f t="shared" si="45"/>
        <v>41 to 50</v>
      </c>
      <c r="G982" t="s">
        <v>91</v>
      </c>
      <c r="H982" t="s">
        <v>59</v>
      </c>
      <c r="I982" t="s">
        <v>60</v>
      </c>
      <c r="J982">
        <v>25</v>
      </c>
      <c r="K982" t="str">
        <f t="shared" si="46"/>
        <v>21 to 30</v>
      </c>
      <c r="L982" s="1">
        <v>75</v>
      </c>
      <c r="M982" t="s">
        <v>2066</v>
      </c>
      <c r="O982">
        <v>2.7</v>
      </c>
      <c r="P982">
        <v>1</v>
      </c>
      <c r="Q982" t="s">
        <v>2076</v>
      </c>
      <c r="R982">
        <v>78</v>
      </c>
      <c r="S982" s="2">
        <v>0.78</v>
      </c>
      <c r="T982" s="2" t="str">
        <f t="shared" si="47"/>
        <v>71% to 80%</v>
      </c>
      <c r="U982">
        <v>0.78</v>
      </c>
    </row>
    <row r="983" spans="1:21" x14ac:dyDescent="0.3">
      <c r="A983" t="s">
        <v>2024</v>
      </c>
      <c r="B983" t="s">
        <v>2025</v>
      </c>
      <c r="C983" t="s">
        <v>76</v>
      </c>
      <c r="D983" t="s">
        <v>80</v>
      </c>
      <c r="E983">
        <v>59</v>
      </c>
      <c r="F983" t="str">
        <f t="shared" si="45"/>
        <v>51 to 60</v>
      </c>
      <c r="G983" t="s">
        <v>83</v>
      </c>
      <c r="H983" t="s">
        <v>84</v>
      </c>
      <c r="I983" t="s">
        <v>60</v>
      </c>
      <c r="J983">
        <v>37</v>
      </c>
      <c r="K983" t="str">
        <f t="shared" si="46"/>
        <v>31 to 40</v>
      </c>
      <c r="L983" s="1">
        <v>30</v>
      </c>
      <c r="M983" t="s">
        <v>2069</v>
      </c>
      <c r="O983">
        <v>4</v>
      </c>
      <c r="P983" t="b">
        <v>0</v>
      </c>
      <c r="Q983" t="s">
        <v>2077</v>
      </c>
      <c r="R983">
        <v>0.62</v>
      </c>
      <c r="S983" s="2">
        <v>0.62</v>
      </c>
      <c r="T983" s="2" t="str">
        <f t="shared" si="47"/>
        <v>61% to 70 %</v>
      </c>
    </row>
    <row r="984" spans="1:21" x14ac:dyDescent="0.3">
      <c r="A984" t="s">
        <v>2026</v>
      </c>
      <c r="B984" t="s">
        <v>2027</v>
      </c>
      <c r="C984" t="s">
        <v>36</v>
      </c>
      <c r="D984" t="s">
        <v>20</v>
      </c>
      <c r="E984">
        <v>28</v>
      </c>
      <c r="F984" t="str">
        <f t="shared" si="45"/>
        <v>21 to 30</v>
      </c>
      <c r="G984" t="s">
        <v>91</v>
      </c>
      <c r="H984" t="s">
        <v>59</v>
      </c>
      <c r="I984" t="s">
        <v>18</v>
      </c>
      <c r="J984">
        <v>5</v>
      </c>
      <c r="K984" t="str">
        <f t="shared" si="46"/>
        <v>0 to 10</v>
      </c>
      <c r="L984" s="1">
        <v>50</v>
      </c>
      <c r="M984" t="s">
        <v>2065</v>
      </c>
      <c r="N984" t="s">
        <v>2071</v>
      </c>
      <c r="O984">
        <v>0</v>
      </c>
      <c r="P984" t="s">
        <v>19</v>
      </c>
      <c r="Q984" t="s">
        <v>2076</v>
      </c>
      <c r="R984">
        <v>96</v>
      </c>
      <c r="S984" s="2">
        <v>0.96</v>
      </c>
      <c r="T984" s="2" t="str">
        <f t="shared" si="47"/>
        <v>91% to 100%</v>
      </c>
      <c r="U984">
        <v>0.96</v>
      </c>
    </row>
    <row r="985" spans="1:21" x14ac:dyDescent="0.3">
      <c r="A985" t="s">
        <v>2028</v>
      </c>
      <c r="B985" t="s">
        <v>2029</v>
      </c>
      <c r="C985" t="s">
        <v>15</v>
      </c>
      <c r="D985" t="s">
        <v>20</v>
      </c>
      <c r="E985">
        <v>59</v>
      </c>
      <c r="F985" t="str">
        <f t="shared" si="45"/>
        <v>51 to 60</v>
      </c>
      <c r="G985" t="s">
        <v>83</v>
      </c>
      <c r="H985" t="s">
        <v>84</v>
      </c>
      <c r="I985" t="s">
        <v>39</v>
      </c>
      <c r="J985">
        <v>21</v>
      </c>
      <c r="K985" t="str">
        <f t="shared" si="46"/>
        <v>21 to 30</v>
      </c>
      <c r="L985" s="1">
        <v>100</v>
      </c>
      <c r="M985" t="s">
        <v>2070</v>
      </c>
      <c r="O985">
        <v>0</v>
      </c>
      <c r="R985">
        <v>0.7</v>
      </c>
      <c r="S985" s="2">
        <v>0.7</v>
      </c>
      <c r="T985" s="2" t="str">
        <f t="shared" si="47"/>
        <v>61% to 70 %</v>
      </c>
    </row>
    <row r="986" spans="1:21" x14ac:dyDescent="0.3">
      <c r="A986" t="s">
        <v>2030</v>
      </c>
      <c r="B986" t="s">
        <v>2031</v>
      </c>
      <c r="C986" t="s">
        <v>15</v>
      </c>
      <c r="D986" t="s">
        <v>20</v>
      </c>
      <c r="E986">
        <v>20</v>
      </c>
      <c r="F986" t="str">
        <f t="shared" si="45"/>
        <v>11 to 20</v>
      </c>
      <c r="G986" t="s">
        <v>42</v>
      </c>
      <c r="H986" t="s">
        <v>43</v>
      </c>
      <c r="I986" t="s">
        <v>108</v>
      </c>
      <c r="J986">
        <v>1</v>
      </c>
      <c r="K986" t="str">
        <f t="shared" si="46"/>
        <v>0 to 10</v>
      </c>
      <c r="L986" s="1">
        <v>50</v>
      </c>
      <c r="M986" t="s">
        <v>2068</v>
      </c>
      <c r="N986" t="s">
        <v>2071</v>
      </c>
      <c r="P986" t="s">
        <v>19</v>
      </c>
      <c r="Q986" t="s">
        <v>2076</v>
      </c>
      <c r="R986">
        <v>0.81</v>
      </c>
      <c r="S986" s="2">
        <v>0.81</v>
      </c>
      <c r="T986" s="2" t="str">
        <f t="shared" si="47"/>
        <v>81% to 90%</v>
      </c>
    </row>
    <row r="987" spans="1:21" x14ac:dyDescent="0.3">
      <c r="A987" t="s">
        <v>2032</v>
      </c>
      <c r="B987" t="s">
        <v>2033</v>
      </c>
      <c r="C987" t="s">
        <v>36</v>
      </c>
      <c r="D987" t="s">
        <v>20</v>
      </c>
      <c r="E987">
        <v>47</v>
      </c>
      <c r="F987" t="str">
        <f t="shared" si="45"/>
        <v>41 to 50</v>
      </c>
      <c r="G987" t="s">
        <v>23</v>
      </c>
      <c r="H987" t="s">
        <v>24</v>
      </c>
      <c r="I987" t="s">
        <v>18</v>
      </c>
      <c r="J987">
        <v>10</v>
      </c>
      <c r="K987" t="str">
        <f t="shared" si="46"/>
        <v>0 to 10</v>
      </c>
      <c r="L987" s="1">
        <v>75</v>
      </c>
      <c r="M987" t="s">
        <v>2065</v>
      </c>
      <c r="N987" t="s">
        <v>2066</v>
      </c>
      <c r="O987">
        <v>1.9</v>
      </c>
      <c r="T987" s="2" t="str">
        <f t="shared" si="47"/>
        <v/>
      </c>
    </row>
    <row r="988" spans="1:21" x14ac:dyDescent="0.3">
      <c r="A988" t="s">
        <v>2034</v>
      </c>
      <c r="B988" t="s">
        <v>2035</v>
      </c>
      <c r="C988" t="s">
        <v>36</v>
      </c>
      <c r="D988" t="s">
        <v>20</v>
      </c>
      <c r="E988">
        <v>48</v>
      </c>
      <c r="F988" t="str">
        <f t="shared" si="45"/>
        <v>41 to 50</v>
      </c>
      <c r="G988" t="s">
        <v>188</v>
      </c>
      <c r="H988" t="s">
        <v>189</v>
      </c>
      <c r="I988" t="s">
        <v>63</v>
      </c>
      <c r="J988">
        <v>8</v>
      </c>
      <c r="K988" t="str">
        <f t="shared" si="46"/>
        <v>0 to 10</v>
      </c>
      <c r="L988" s="1">
        <v>30</v>
      </c>
      <c r="M988" t="s">
        <v>2069</v>
      </c>
      <c r="O988">
        <v>5</v>
      </c>
      <c r="P988">
        <v>1</v>
      </c>
      <c r="Q988" t="s">
        <v>2076</v>
      </c>
      <c r="R988">
        <v>0.99</v>
      </c>
      <c r="S988" s="2">
        <v>0.99</v>
      </c>
      <c r="T988" s="2" t="str">
        <f t="shared" si="47"/>
        <v>91% to 100%</v>
      </c>
    </row>
    <row r="989" spans="1:21" x14ac:dyDescent="0.3">
      <c r="A989" t="s">
        <v>2036</v>
      </c>
      <c r="B989" t="s">
        <v>2037</v>
      </c>
      <c r="C989" t="s">
        <v>15</v>
      </c>
      <c r="D989" t="s">
        <v>20</v>
      </c>
      <c r="E989">
        <v>36</v>
      </c>
      <c r="F989" t="str">
        <f t="shared" si="45"/>
        <v>31 to 40</v>
      </c>
      <c r="G989" t="s">
        <v>158</v>
      </c>
      <c r="H989" t="s">
        <v>159</v>
      </c>
      <c r="I989" t="s">
        <v>47</v>
      </c>
      <c r="J989">
        <v>11</v>
      </c>
      <c r="K989" t="str">
        <f t="shared" si="46"/>
        <v>11 to 20</v>
      </c>
      <c r="L989" s="1">
        <v>75</v>
      </c>
      <c r="M989" t="s">
        <v>2065</v>
      </c>
      <c r="N989" t="s">
        <v>2066</v>
      </c>
      <c r="O989">
        <v>3.2</v>
      </c>
      <c r="P989">
        <v>0</v>
      </c>
      <c r="Q989" t="s">
        <v>2077</v>
      </c>
      <c r="R989">
        <v>93</v>
      </c>
      <c r="S989" s="2">
        <v>0.93</v>
      </c>
      <c r="T989" s="2" t="str">
        <f t="shared" si="47"/>
        <v>91% to 100%</v>
      </c>
      <c r="U989">
        <v>0.93</v>
      </c>
    </row>
    <row r="990" spans="1:21" x14ac:dyDescent="0.3">
      <c r="A990" t="s">
        <v>2038</v>
      </c>
      <c r="B990" t="s">
        <v>2039</v>
      </c>
      <c r="C990" t="s">
        <v>36</v>
      </c>
      <c r="D990" t="s">
        <v>20</v>
      </c>
      <c r="E990">
        <v>32</v>
      </c>
      <c r="F990" t="str">
        <f t="shared" si="45"/>
        <v>31 to 40</v>
      </c>
      <c r="G990" t="s">
        <v>46</v>
      </c>
      <c r="H990" t="s">
        <v>17</v>
      </c>
      <c r="I990" t="s">
        <v>47</v>
      </c>
      <c r="J990">
        <v>9</v>
      </c>
      <c r="K990" t="str">
        <f t="shared" si="46"/>
        <v>0 to 10</v>
      </c>
      <c r="L990" s="1">
        <v>40</v>
      </c>
      <c r="M990" t="s">
        <v>2068</v>
      </c>
      <c r="N990" t="s">
        <v>2067</v>
      </c>
      <c r="O990">
        <v>4.5999999999999996</v>
      </c>
      <c r="P990">
        <v>1</v>
      </c>
      <c r="Q990" t="s">
        <v>2076</v>
      </c>
      <c r="R990">
        <v>0.84</v>
      </c>
      <c r="S990" s="2">
        <v>0.84</v>
      </c>
      <c r="T990" s="2" t="str">
        <f t="shared" si="47"/>
        <v>81% to 90%</v>
      </c>
    </row>
    <row r="991" spans="1:21" x14ac:dyDescent="0.3">
      <c r="A991" t="s">
        <v>2040</v>
      </c>
      <c r="B991" t="s">
        <v>2041</v>
      </c>
      <c r="C991" t="s">
        <v>15</v>
      </c>
      <c r="D991" t="s">
        <v>20</v>
      </c>
      <c r="E991">
        <v>34</v>
      </c>
      <c r="F991" t="str">
        <f t="shared" si="45"/>
        <v>31 to 40</v>
      </c>
      <c r="G991" t="s">
        <v>77</v>
      </c>
      <c r="H991" t="s">
        <v>78</v>
      </c>
      <c r="I991" t="s">
        <v>63</v>
      </c>
      <c r="J991">
        <v>0</v>
      </c>
      <c r="K991" t="str">
        <f t="shared" si="46"/>
        <v>0 to 10</v>
      </c>
      <c r="L991" s="1">
        <v>20</v>
      </c>
      <c r="M991" t="s">
        <v>2072</v>
      </c>
      <c r="O991">
        <v>1.7</v>
      </c>
      <c r="P991">
        <v>0</v>
      </c>
      <c r="Q991" t="s">
        <v>2077</v>
      </c>
      <c r="R991">
        <v>0.66</v>
      </c>
      <c r="S991" s="2">
        <v>0.66</v>
      </c>
      <c r="T991" s="2" t="str">
        <f t="shared" si="47"/>
        <v>61% to 70 %</v>
      </c>
    </row>
    <row r="992" spans="1:21" x14ac:dyDescent="0.3">
      <c r="A992" t="s">
        <v>2042</v>
      </c>
      <c r="B992" t="s">
        <v>2043</v>
      </c>
      <c r="C992" t="s">
        <v>36</v>
      </c>
      <c r="D992" t="s">
        <v>20</v>
      </c>
      <c r="E992">
        <v>48</v>
      </c>
      <c r="F992" t="str">
        <f t="shared" si="45"/>
        <v>41 to 50</v>
      </c>
      <c r="G992" t="s">
        <v>46</v>
      </c>
      <c r="H992" t="s">
        <v>17</v>
      </c>
      <c r="I992" t="s">
        <v>39</v>
      </c>
      <c r="J992">
        <v>18</v>
      </c>
      <c r="K992" t="str">
        <f t="shared" si="46"/>
        <v>11 to 20</v>
      </c>
      <c r="L992" s="1">
        <v>75</v>
      </c>
      <c r="M992" t="s">
        <v>2066</v>
      </c>
      <c r="O992">
        <v>0</v>
      </c>
      <c r="P992">
        <v>0</v>
      </c>
      <c r="Q992" t="s">
        <v>2077</v>
      </c>
      <c r="R992">
        <v>0.8</v>
      </c>
      <c r="S992" s="2">
        <v>0.8</v>
      </c>
      <c r="T992" s="2" t="str">
        <f t="shared" si="47"/>
        <v>71% to 80%</v>
      </c>
    </row>
    <row r="993" spans="1:21" x14ac:dyDescent="0.3">
      <c r="A993" t="s">
        <v>2044</v>
      </c>
      <c r="B993" t="s">
        <v>2045</v>
      </c>
      <c r="C993" t="s">
        <v>36</v>
      </c>
      <c r="D993" t="s">
        <v>20</v>
      </c>
      <c r="E993">
        <v>42</v>
      </c>
      <c r="F993" t="str">
        <f t="shared" si="45"/>
        <v>41 to 50</v>
      </c>
      <c r="G993" t="s">
        <v>77</v>
      </c>
      <c r="H993" t="s">
        <v>78</v>
      </c>
      <c r="I993" t="s">
        <v>33</v>
      </c>
      <c r="J993">
        <v>0</v>
      </c>
      <c r="K993" t="str">
        <f t="shared" si="46"/>
        <v>0 to 10</v>
      </c>
      <c r="L993" s="1">
        <v>30</v>
      </c>
      <c r="M993" t="s">
        <v>2065</v>
      </c>
      <c r="N993" t="s">
        <v>2069</v>
      </c>
      <c r="O993">
        <v>1.2</v>
      </c>
      <c r="P993">
        <v>0</v>
      </c>
      <c r="Q993" t="s">
        <v>2077</v>
      </c>
      <c r="R993">
        <v>0.69</v>
      </c>
      <c r="S993" s="2">
        <v>0.69</v>
      </c>
      <c r="T993" s="2" t="str">
        <f t="shared" si="47"/>
        <v>61% to 70 %</v>
      </c>
    </row>
    <row r="994" spans="1:21" x14ac:dyDescent="0.3">
      <c r="A994" t="s">
        <v>2046</v>
      </c>
      <c r="B994" t="s">
        <v>2047</v>
      </c>
      <c r="C994" t="s">
        <v>76</v>
      </c>
      <c r="D994" t="s">
        <v>80</v>
      </c>
      <c r="E994">
        <v>50</v>
      </c>
      <c r="F994" t="str">
        <f t="shared" si="45"/>
        <v>41 to 50</v>
      </c>
      <c r="G994" t="s">
        <v>87</v>
      </c>
      <c r="H994" t="s">
        <v>88</v>
      </c>
      <c r="I994" t="s">
        <v>52</v>
      </c>
      <c r="J994">
        <v>31</v>
      </c>
      <c r="K994" t="str">
        <f t="shared" si="46"/>
        <v>31 to 40</v>
      </c>
      <c r="L994" s="1">
        <v>100</v>
      </c>
      <c r="M994" t="s">
        <v>2068</v>
      </c>
      <c r="N994" t="s">
        <v>2070</v>
      </c>
      <c r="O994">
        <v>2.9</v>
      </c>
      <c r="P994" t="s">
        <v>96</v>
      </c>
      <c r="Q994" t="s">
        <v>2076</v>
      </c>
      <c r="R994">
        <v>0.89</v>
      </c>
      <c r="S994" s="2">
        <v>0.89</v>
      </c>
      <c r="T994" s="2" t="str">
        <f t="shared" si="47"/>
        <v>81% to 90%</v>
      </c>
    </row>
    <row r="995" spans="1:21" x14ac:dyDescent="0.3">
      <c r="A995" t="s">
        <v>2048</v>
      </c>
      <c r="B995" t="s">
        <v>2049</v>
      </c>
      <c r="C995" t="s">
        <v>111</v>
      </c>
      <c r="D995" t="s">
        <v>80</v>
      </c>
      <c r="E995">
        <v>33</v>
      </c>
      <c r="F995" t="str">
        <f t="shared" si="45"/>
        <v>31 to 40</v>
      </c>
      <c r="G995" t="s">
        <v>188</v>
      </c>
      <c r="H995" t="s">
        <v>189</v>
      </c>
      <c r="I995" t="s">
        <v>52</v>
      </c>
      <c r="J995">
        <v>11</v>
      </c>
      <c r="K995" t="str">
        <f t="shared" si="46"/>
        <v>11 to 20</v>
      </c>
      <c r="P995" t="s">
        <v>19</v>
      </c>
      <c r="Q995" t="s">
        <v>2076</v>
      </c>
      <c r="R995">
        <v>0.84</v>
      </c>
      <c r="S995" s="2">
        <v>0.84</v>
      </c>
      <c r="T995" s="2" t="str">
        <f t="shared" si="47"/>
        <v>81% to 90%</v>
      </c>
    </row>
    <row r="996" spans="1:21" x14ac:dyDescent="0.3">
      <c r="A996" t="s">
        <v>2050</v>
      </c>
      <c r="B996" t="s">
        <v>2051</v>
      </c>
      <c r="C996" t="s">
        <v>76</v>
      </c>
      <c r="D996" t="s">
        <v>80</v>
      </c>
      <c r="E996">
        <v>37</v>
      </c>
      <c r="F996" t="str">
        <f t="shared" si="45"/>
        <v>31 to 40</v>
      </c>
      <c r="G996" t="s">
        <v>139</v>
      </c>
      <c r="H996" t="s">
        <v>59</v>
      </c>
      <c r="I996" t="s">
        <v>18</v>
      </c>
      <c r="J996">
        <v>18</v>
      </c>
      <c r="K996" t="str">
        <f t="shared" si="46"/>
        <v>11 to 20</v>
      </c>
      <c r="L996" s="1">
        <v>40</v>
      </c>
      <c r="M996" t="s">
        <v>2067</v>
      </c>
      <c r="O996">
        <v>4.5</v>
      </c>
      <c r="P996" t="s">
        <v>67</v>
      </c>
      <c r="Q996" t="s">
        <v>2077</v>
      </c>
      <c r="R996">
        <v>0.72</v>
      </c>
      <c r="S996" s="2">
        <v>0.72</v>
      </c>
      <c r="T996" s="2" t="str">
        <f t="shared" si="47"/>
        <v>71% to 80%</v>
      </c>
    </row>
    <row r="997" spans="1:21" x14ac:dyDescent="0.3">
      <c r="A997" t="s">
        <v>2052</v>
      </c>
      <c r="B997" t="s">
        <v>2053</v>
      </c>
      <c r="C997" t="s">
        <v>36</v>
      </c>
      <c r="D997" t="s">
        <v>20</v>
      </c>
      <c r="E997">
        <v>52</v>
      </c>
      <c r="F997" t="str">
        <f t="shared" si="45"/>
        <v>51 to 60</v>
      </c>
      <c r="G997" t="s">
        <v>31</v>
      </c>
      <c r="H997" t="s">
        <v>32</v>
      </c>
      <c r="I997" t="s">
        <v>39</v>
      </c>
      <c r="J997">
        <v>33</v>
      </c>
      <c r="K997" t="str">
        <f t="shared" si="46"/>
        <v>31 to 40</v>
      </c>
      <c r="L997" s="1">
        <v>100</v>
      </c>
      <c r="M997" t="s">
        <v>2065</v>
      </c>
      <c r="N997" t="s">
        <v>2070</v>
      </c>
      <c r="O997">
        <v>1.6</v>
      </c>
      <c r="R997">
        <v>0.66</v>
      </c>
      <c r="S997" s="2">
        <v>0.66</v>
      </c>
      <c r="T997" s="2" t="str">
        <f t="shared" si="47"/>
        <v>61% to 70 %</v>
      </c>
    </row>
    <row r="998" spans="1:21" x14ac:dyDescent="0.3">
      <c r="A998" t="s">
        <v>2054</v>
      </c>
      <c r="B998" t="s">
        <v>2055</v>
      </c>
      <c r="C998" t="s">
        <v>36</v>
      </c>
      <c r="D998" t="s">
        <v>20</v>
      </c>
      <c r="E998">
        <v>34</v>
      </c>
      <c r="F998" t="str">
        <f t="shared" si="45"/>
        <v>31 to 40</v>
      </c>
      <c r="G998" t="s">
        <v>158</v>
      </c>
      <c r="H998" t="s">
        <v>159</v>
      </c>
      <c r="I998" t="s">
        <v>33</v>
      </c>
      <c r="J998">
        <v>6</v>
      </c>
      <c r="K998" t="str">
        <f t="shared" si="46"/>
        <v>0 to 10</v>
      </c>
      <c r="L998" s="1">
        <v>75</v>
      </c>
      <c r="M998" t="s">
        <v>2066</v>
      </c>
      <c r="O998">
        <v>1.9</v>
      </c>
      <c r="P998">
        <v>1</v>
      </c>
      <c r="Q998" t="s">
        <v>2076</v>
      </c>
      <c r="R998">
        <v>0.81</v>
      </c>
      <c r="S998" s="2">
        <v>0.81</v>
      </c>
      <c r="T998" s="2" t="str">
        <f t="shared" si="47"/>
        <v>81% to 90%</v>
      </c>
    </row>
    <row r="999" spans="1:21" x14ac:dyDescent="0.3">
      <c r="A999" t="s">
        <v>2056</v>
      </c>
      <c r="B999" t="s">
        <v>2057</v>
      </c>
      <c r="C999" t="s">
        <v>36</v>
      </c>
      <c r="D999" t="s">
        <v>20</v>
      </c>
      <c r="E999">
        <v>27</v>
      </c>
      <c r="F999" t="str">
        <f t="shared" si="45"/>
        <v>21 to 30</v>
      </c>
      <c r="G999" t="s">
        <v>188</v>
      </c>
      <c r="H999" t="s">
        <v>189</v>
      </c>
      <c r="I999" t="s">
        <v>66</v>
      </c>
      <c r="J999">
        <v>1</v>
      </c>
      <c r="K999" t="str">
        <f t="shared" si="46"/>
        <v>0 to 10</v>
      </c>
      <c r="L999" s="1">
        <v>100</v>
      </c>
      <c r="M999" t="s">
        <v>2068</v>
      </c>
      <c r="N999" t="s">
        <v>2070</v>
      </c>
      <c r="O999">
        <v>3.7</v>
      </c>
      <c r="P999" t="s">
        <v>96</v>
      </c>
      <c r="Q999" t="s">
        <v>2076</v>
      </c>
      <c r="R999">
        <v>61</v>
      </c>
      <c r="S999" s="2">
        <v>0.61</v>
      </c>
      <c r="T999" s="2" t="str">
        <f t="shared" si="47"/>
        <v>61% to 70 %</v>
      </c>
      <c r="U999">
        <v>0.61</v>
      </c>
    </row>
    <row r="1000" spans="1:21" x14ac:dyDescent="0.3">
      <c r="A1000" t="s">
        <v>2058</v>
      </c>
      <c r="B1000" t="s">
        <v>2059</v>
      </c>
      <c r="C1000" t="s">
        <v>15</v>
      </c>
      <c r="D1000" t="s">
        <v>20</v>
      </c>
      <c r="E1000">
        <v>34</v>
      </c>
      <c r="F1000" t="str">
        <f t="shared" si="45"/>
        <v>31 to 40</v>
      </c>
      <c r="G1000" t="s">
        <v>101</v>
      </c>
      <c r="H1000" t="s">
        <v>59</v>
      </c>
      <c r="I1000" t="s">
        <v>18</v>
      </c>
      <c r="J1000">
        <v>10</v>
      </c>
      <c r="K1000" t="str">
        <f t="shared" si="46"/>
        <v>0 to 10</v>
      </c>
      <c r="L1000" s="1">
        <v>30</v>
      </c>
      <c r="M1000" t="s">
        <v>2065</v>
      </c>
      <c r="N1000" t="s">
        <v>2069</v>
      </c>
      <c r="O1000">
        <v>3.9</v>
      </c>
      <c r="T1000" s="2" t="str">
        <f t="shared" si="47"/>
        <v/>
      </c>
    </row>
    <row r="1001" spans="1:21" x14ac:dyDescent="0.3">
      <c r="A1001" t="s">
        <v>2060</v>
      </c>
      <c r="B1001" t="s">
        <v>2061</v>
      </c>
      <c r="C1001" t="s">
        <v>15</v>
      </c>
      <c r="D1001" t="s">
        <v>20</v>
      </c>
      <c r="E1001">
        <v>51</v>
      </c>
      <c r="F1001" t="str">
        <f t="shared" si="45"/>
        <v>51 to 60</v>
      </c>
      <c r="G1001" t="s">
        <v>58</v>
      </c>
      <c r="H1001" t="s">
        <v>59</v>
      </c>
      <c r="I1001" t="s">
        <v>108</v>
      </c>
      <c r="J1001">
        <v>12</v>
      </c>
      <c r="K1001" t="str">
        <f t="shared" si="46"/>
        <v>11 to 20</v>
      </c>
      <c r="L1001" s="1">
        <v>20</v>
      </c>
      <c r="M1001" t="s">
        <v>2072</v>
      </c>
      <c r="O1001">
        <v>4</v>
      </c>
      <c r="P1001">
        <v>0</v>
      </c>
      <c r="Q1001" t="s">
        <v>2077</v>
      </c>
      <c r="R1001">
        <v>93</v>
      </c>
      <c r="S1001" s="2">
        <v>0.93</v>
      </c>
      <c r="T1001" s="2" t="str">
        <f t="shared" si="47"/>
        <v>91% to 100%</v>
      </c>
      <c r="U1001">
        <v>0.93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8FE6-00EA-4B10-83E7-5BF97C62DC48}">
  <dimension ref="A1:H12"/>
  <sheetViews>
    <sheetView tabSelected="1" workbookViewId="0">
      <selection activeCell="D19" sqref="D19"/>
    </sheetView>
  </sheetViews>
  <sheetFormatPr defaultRowHeight="14.4" x14ac:dyDescent="0.3"/>
  <cols>
    <col min="2" max="2" width="19.33203125" customWidth="1"/>
    <col min="3" max="3" width="56.77734375" customWidth="1"/>
    <col min="4" max="4" width="9.33203125" bestFit="1" customWidth="1"/>
    <col min="5" max="5" width="12.5546875" bestFit="1" customWidth="1"/>
    <col min="6" max="6" width="8.5546875" bestFit="1" customWidth="1"/>
    <col min="7" max="7" width="59.6640625" customWidth="1"/>
    <col min="8" max="8" width="8.5546875" customWidth="1"/>
  </cols>
  <sheetData>
    <row r="1" spans="1:8" x14ac:dyDescent="0.3">
      <c r="A1" s="4" t="s">
        <v>2078</v>
      </c>
      <c r="B1" s="4" t="s">
        <v>2079</v>
      </c>
      <c r="C1" s="4" t="s">
        <v>2080</v>
      </c>
      <c r="D1" s="4" t="s">
        <v>2081</v>
      </c>
      <c r="E1" s="4" t="s">
        <v>2082</v>
      </c>
      <c r="F1" s="4" t="s">
        <v>2083</v>
      </c>
      <c r="G1" s="4" t="s">
        <v>2084</v>
      </c>
      <c r="H1" s="4" t="s">
        <v>2085</v>
      </c>
    </row>
    <row r="2" spans="1:8" x14ac:dyDescent="0.3">
      <c r="A2">
        <v>1</v>
      </c>
      <c r="B2" t="s">
        <v>1</v>
      </c>
      <c r="C2" t="s">
        <v>2086</v>
      </c>
      <c r="D2">
        <v>18</v>
      </c>
      <c r="E2" s="3">
        <f>D2/1000</f>
        <v>1.7999999999999999E-2</v>
      </c>
      <c r="F2" t="s">
        <v>2076</v>
      </c>
      <c r="G2" t="s">
        <v>2087</v>
      </c>
      <c r="H2" t="s">
        <v>19</v>
      </c>
    </row>
    <row r="3" spans="1:8" x14ac:dyDescent="0.3">
      <c r="A3">
        <v>2</v>
      </c>
      <c r="B3" t="s">
        <v>2</v>
      </c>
      <c r="C3" t="s">
        <v>2088</v>
      </c>
      <c r="D3">
        <v>400</v>
      </c>
      <c r="E3" s="3">
        <f t="shared" ref="E3:E12" si="0">D3/1000</f>
        <v>0.4</v>
      </c>
      <c r="F3" t="s">
        <v>2076</v>
      </c>
      <c r="G3" t="s">
        <v>2089</v>
      </c>
      <c r="H3" t="s">
        <v>19</v>
      </c>
    </row>
    <row r="4" spans="1:8" x14ac:dyDescent="0.3">
      <c r="A4">
        <v>3</v>
      </c>
      <c r="B4" t="s">
        <v>3</v>
      </c>
      <c r="C4" t="s">
        <v>2090</v>
      </c>
      <c r="D4">
        <v>30</v>
      </c>
      <c r="E4" s="3">
        <f t="shared" si="0"/>
        <v>0.03</v>
      </c>
      <c r="F4" t="s">
        <v>2076</v>
      </c>
      <c r="G4" t="s">
        <v>2091</v>
      </c>
      <c r="H4" t="s">
        <v>2092</v>
      </c>
    </row>
    <row r="5" spans="1:8" x14ac:dyDescent="0.3">
      <c r="A5">
        <v>4</v>
      </c>
      <c r="B5" t="s">
        <v>7</v>
      </c>
      <c r="C5" t="s">
        <v>2090</v>
      </c>
      <c r="D5">
        <v>51</v>
      </c>
      <c r="E5" s="3">
        <f t="shared" si="0"/>
        <v>5.0999999999999997E-2</v>
      </c>
      <c r="F5" t="s">
        <v>2076</v>
      </c>
      <c r="G5" t="s">
        <v>2091</v>
      </c>
      <c r="H5" t="s">
        <v>2092</v>
      </c>
    </row>
    <row r="6" spans="1:8" x14ac:dyDescent="0.3">
      <c r="A6">
        <v>5</v>
      </c>
      <c r="B6" t="s">
        <v>8</v>
      </c>
      <c r="C6" t="s">
        <v>2090</v>
      </c>
      <c r="D6">
        <v>94</v>
      </c>
      <c r="E6" s="3">
        <f t="shared" si="0"/>
        <v>9.4E-2</v>
      </c>
      <c r="F6" t="s">
        <v>2076</v>
      </c>
      <c r="G6" t="s">
        <v>2091</v>
      </c>
      <c r="H6" t="s">
        <v>2092</v>
      </c>
    </row>
    <row r="7" spans="1:8" x14ac:dyDescent="0.3">
      <c r="A7">
        <v>6</v>
      </c>
      <c r="B7" t="s">
        <v>8</v>
      </c>
      <c r="C7" t="s">
        <v>2093</v>
      </c>
      <c r="D7">
        <v>441</v>
      </c>
      <c r="E7" s="3">
        <f t="shared" si="0"/>
        <v>0.441</v>
      </c>
      <c r="F7" t="s">
        <v>2076</v>
      </c>
      <c r="G7" t="s">
        <v>2094</v>
      </c>
      <c r="H7" t="s">
        <v>19</v>
      </c>
    </row>
    <row r="8" spans="1:8" x14ac:dyDescent="0.3">
      <c r="A8">
        <v>7</v>
      </c>
      <c r="B8" t="s">
        <v>9</v>
      </c>
      <c r="C8" t="s">
        <v>2090</v>
      </c>
      <c r="D8">
        <v>101</v>
      </c>
      <c r="E8" s="3">
        <f t="shared" si="0"/>
        <v>0.10100000000000001</v>
      </c>
      <c r="F8" t="s">
        <v>2076</v>
      </c>
      <c r="G8" t="s">
        <v>2091</v>
      </c>
      <c r="H8" t="s">
        <v>2092</v>
      </c>
    </row>
    <row r="9" spans="1:8" x14ac:dyDescent="0.3">
      <c r="A9">
        <v>8</v>
      </c>
      <c r="B9" t="s">
        <v>10</v>
      </c>
      <c r="C9" t="s">
        <v>2095</v>
      </c>
      <c r="D9">
        <v>808</v>
      </c>
      <c r="E9" s="3">
        <f t="shared" si="0"/>
        <v>0.80800000000000005</v>
      </c>
      <c r="F9" t="s">
        <v>2076</v>
      </c>
      <c r="G9" t="s">
        <v>2096</v>
      </c>
      <c r="H9" t="s">
        <v>19</v>
      </c>
    </row>
    <row r="10" spans="1:8" x14ac:dyDescent="0.3">
      <c r="A10">
        <v>9</v>
      </c>
      <c r="B10" t="s">
        <v>10</v>
      </c>
      <c r="C10" t="s">
        <v>2090</v>
      </c>
      <c r="D10">
        <v>89</v>
      </c>
      <c r="E10" s="3">
        <f t="shared" si="0"/>
        <v>8.8999999999999996E-2</v>
      </c>
      <c r="F10" t="s">
        <v>2076</v>
      </c>
      <c r="G10" t="s">
        <v>2091</v>
      </c>
      <c r="H10" t="s">
        <v>2092</v>
      </c>
    </row>
    <row r="11" spans="1:8" x14ac:dyDescent="0.3">
      <c r="A11">
        <v>10</v>
      </c>
      <c r="B11" t="s">
        <v>11</v>
      </c>
      <c r="C11" t="s">
        <v>2097</v>
      </c>
      <c r="D11">
        <v>40</v>
      </c>
      <c r="E11" s="3">
        <f t="shared" si="0"/>
        <v>0.04</v>
      </c>
      <c r="F11" t="s">
        <v>2076</v>
      </c>
      <c r="G11" t="s">
        <v>2098</v>
      </c>
      <c r="H11" t="s">
        <v>19</v>
      </c>
    </row>
    <row r="12" spans="1:8" x14ac:dyDescent="0.3">
      <c r="A12">
        <v>11</v>
      </c>
      <c r="B12" t="s">
        <v>11</v>
      </c>
      <c r="C12" t="s">
        <v>2090</v>
      </c>
      <c r="D12">
        <v>176</v>
      </c>
      <c r="E12" s="3">
        <f t="shared" si="0"/>
        <v>0.17599999999999999</v>
      </c>
      <c r="F12" t="s">
        <v>2076</v>
      </c>
      <c r="G12" t="s">
        <v>2091</v>
      </c>
      <c r="H12" t="s">
        <v>2092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D6695EF-5D05-42A8-AFC9-AAA62B46FCCA}">
  <ds:schemaRefs/>
</ds:datastoreItem>
</file>

<file path=customXml/itemProps2.xml><?xml version="1.0" encoding="utf-8"?>
<ds:datastoreItem xmlns:ds="http://schemas.openxmlformats.org/officeDocument/2006/customXml" ds:itemID="{682F1635-22CC-4426-929F-2AA2594DB1E6}">
  <ds:schemaRefs/>
</ds:datastoreItem>
</file>

<file path=customXml/itemProps3.xml><?xml version="1.0" encoding="utf-8"?>
<ds:datastoreItem xmlns:ds="http://schemas.openxmlformats.org/officeDocument/2006/customXml" ds:itemID="{E8AE087F-6E4A-4199-98BF-7BF5C02B06CB}">
  <ds:schemaRefs/>
</ds:datastoreItem>
</file>

<file path=customXml/itemProps4.xml><?xml version="1.0" encoding="utf-8"?>
<ds:datastoreItem xmlns:ds="http://schemas.openxmlformats.org/officeDocument/2006/customXml" ds:itemID="{B6623DC9-F022-41FC-9AA6-54FBD16453C7}">
  <ds:schemaRefs/>
</ds:datastoreItem>
</file>

<file path=customXml/itemProps5.xml><?xml version="1.0" encoding="utf-8"?>
<ds:datastoreItem xmlns:ds="http://schemas.openxmlformats.org/officeDocument/2006/customXml" ds:itemID="{8D0D9BDF-D64C-454E-B370-AF0321513CAE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CA20AAA6-C2DD-4902-8E9F-59A8A016DEC1}">
  <ds:schemaRefs/>
</ds:datastoreItem>
</file>

<file path=customXml/itemProps7.xml><?xml version="1.0" encoding="utf-8"?>
<ds:datastoreItem xmlns:ds="http://schemas.openxmlformats.org/officeDocument/2006/customXml" ds:itemID="{A92990AF-AE15-47DD-AC90-3110694AA2CC}">
  <ds:schemaRefs/>
</ds:datastoreItem>
</file>

<file path=customXml/itemProps8.xml><?xml version="1.0" encoding="utf-8"?>
<ds:datastoreItem xmlns:ds="http://schemas.openxmlformats.org/officeDocument/2006/customXml" ds:itemID="{B40A46D4-A539-42FB-A805-ECDC172D0473}">
  <ds:schemaRefs/>
</ds:datastoreItem>
</file>

<file path=customXml/itemProps9.xml><?xml version="1.0" encoding="utf-8"?>
<ds:datastoreItem xmlns:ds="http://schemas.openxmlformats.org/officeDocument/2006/customXml" ds:itemID="{9B68FAF2-0831-417E-9B3D-D72482046707}">
  <ds:schemaRefs/>
</ds:datastoreItem>
</file>

<file path=customXml/itemProps10.xml><?xml version="1.0" encoding="utf-8"?>
<ds:datastoreItem xmlns:ds="http://schemas.openxmlformats.org/officeDocument/2006/customXml" ds:itemID="{12AC3252-984A-4126-B55F-9D405436BFDC}">
  <ds:schemaRefs/>
</ds:datastoreItem>
</file>

<file path=customXml/itemProps11.xml><?xml version="1.0" encoding="utf-8"?>
<ds:datastoreItem xmlns:ds="http://schemas.openxmlformats.org/officeDocument/2006/customXml" ds:itemID="{ABCBBE36-5F4D-4234-B105-8854F0450DF7}">
  <ds:schemaRefs/>
</ds:datastoreItem>
</file>

<file path=customXml/itemProps12.xml><?xml version="1.0" encoding="utf-8"?>
<ds:datastoreItem xmlns:ds="http://schemas.openxmlformats.org/officeDocument/2006/customXml" ds:itemID="{E359A60E-908E-445E-ABA8-F732A16981C6}">
  <ds:schemaRefs/>
</ds:datastoreItem>
</file>

<file path=customXml/itemProps13.xml><?xml version="1.0" encoding="utf-8"?>
<ds:datastoreItem xmlns:ds="http://schemas.openxmlformats.org/officeDocument/2006/customXml" ds:itemID="{264B0F15-75BE-47B5-8F09-C9B3BA0E1B94}">
  <ds:schemaRefs/>
</ds:datastoreItem>
</file>

<file path=customXml/itemProps14.xml><?xml version="1.0" encoding="utf-8"?>
<ds:datastoreItem xmlns:ds="http://schemas.openxmlformats.org/officeDocument/2006/customXml" ds:itemID="{0BA9D923-D0B1-40CC-861E-57CEB1669D51}">
  <ds:schemaRefs/>
</ds:datastoreItem>
</file>

<file path=customXml/itemProps15.xml><?xml version="1.0" encoding="utf-8"?>
<ds:datastoreItem xmlns:ds="http://schemas.openxmlformats.org/officeDocument/2006/customXml" ds:itemID="{AC7BF551-2EE6-4939-952A-B87E0A3D51CF}">
  <ds:schemaRefs/>
</ds:datastoreItem>
</file>

<file path=customXml/itemProps16.xml><?xml version="1.0" encoding="utf-8"?>
<ds:datastoreItem xmlns:ds="http://schemas.openxmlformats.org/officeDocument/2006/customXml" ds:itemID="{5BFB21C9-0BE7-478A-A61E-E490999222C2}">
  <ds:schemaRefs/>
</ds:datastoreItem>
</file>

<file path=customXml/itemProps17.xml><?xml version="1.0" encoding="utf-8"?>
<ds:datastoreItem xmlns:ds="http://schemas.openxmlformats.org/officeDocument/2006/customXml" ds:itemID="{1673A332-215A-4769-AC28-F6409FD99D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data_edited</vt:lpstr>
      <vt:lpstr>issues_log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 Rajput</dc:creator>
  <cp:lastModifiedBy>Rimjhim Rajput</cp:lastModifiedBy>
  <dcterms:created xsi:type="dcterms:W3CDTF">2026-02-02T12:40:17Z</dcterms:created>
  <dcterms:modified xsi:type="dcterms:W3CDTF">2026-02-09T15:07:12Z</dcterms:modified>
</cp:coreProperties>
</file>